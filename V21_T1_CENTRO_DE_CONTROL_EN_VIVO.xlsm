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_RESUMEN" sheetId="1" r:id="rId4"/>
    <sheet state="visible" name="01_CALENDARIO" sheetId="2" r:id="rId5"/>
    <sheet state="visible" name="02_PLAN_OPERATIVO" sheetId="3" r:id="rId6"/>
    <sheet state="visible" name="03_ARTES" sheetId="4" r:id="rId7"/>
    <sheet state="visible" name="04_EMAILS" sheetId="5" r:id="rId8"/>
    <sheet state="visible" name="05_REDES_Y_BANNERS" sheetId="6" r:id="rId9"/>
    <sheet state="visible" name="06_PUSH_COMUNIDAD" sheetId="7" r:id="rId10"/>
    <sheet state="visible" name="07_HERRAMIENTAS_$0" sheetId="8" r:id="rId11"/>
    <sheet state="visible" name="08_KPIS" sheetId="9" r:id="rId12"/>
    <sheet state="visible" name="09_CERTIFICADOS" sheetId="10" r:id="rId13"/>
    <sheet state="visible" name="10_FUENTES" sheetId="11" r:id="rId14"/>
  </sheets>
  <definedNames/>
  <calcPr/>
  <extLst>
    <ext uri="GoogleSheetsCustomDataVersion2">
      <go:sheetsCustomData xmlns:go="http://customooxmlschemas.google.com/" r:id="rId15" roundtripDataChecksum="9wdm3AbnFC1y82G24I90qpXskICJU3TvCMCvYSh33To="/>
    </ext>
  </extLst>
</workbook>
</file>

<file path=xl/sharedStrings.xml><?xml version="1.0" encoding="utf-8"?>
<sst xmlns="http://schemas.openxmlformats.org/spreadsheetml/2006/main" count="1768" uniqueCount="906">
  <si>
    <t>VETA &amp; VIGOR · CENTRO DE CONTROL · RETO VIGOR 21</t>
  </si>
  <si>
    <t>CALENDARIO VISUAL · AGOSTO–SEPTIEMBRE 2026</t>
  </si>
  <si>
    <t>PLAN OPERATIVO MAESTRO</t>
  </si>
  <si>
    <t>MATRIZ DE ARTES Y REUTILIZACIÓN</t>
  </si>
  <si>
    <t>Plan lean, profesional y sin gasto adicional en herramientas · Inicio colectivo: lunes 10 de agosto de 2026</t>
  </si>
  <si>
    <t>Vista semanal para entender qué sale, dónde y con qué intensidad.</t>
  </si>
  <si>
    <t>Solo se crean piezas con función concreta. Cada arte debe rendir en varios canales.</t>
  </si>
  <si>
    <t>Una fila = una acción concreta. Filtra por fecha, canal, responsable o estado.</t>
  </si>
  <si>
    <t>DECISIÓN ESTRATÉGICA</t>
  </si>
  <si>
    <t>FECHAS DE CONTROL</t>
  </si>
  <si>
    <t>CARGA TOTAL PLANIFICADA</t>
  </si>
  <si>
    <t>Principio</t>
  </si>
  <si>
    <t>Aplicación</t>
  </si>
  <si>
    <t>Regla</t>
  </si>
  <si>
    <t>Hito</t>
  </si>
  <si>
    <t>Fecha</t>
  </si>
  <si>
    <t>CAPTACIÓN</t>
  </si>
  <si>
    <t>Estado</t>
  </si>
  <si>
    <t>Acción clave</t>
  </si>
  <si>
    <t>Indicador</t>
  </si>
  <si>
    <t>ACTIVACIÓN</t>
  </si>
  <si>
    <t>Valor</t>
  </si>
  <si>
    <t>ACOMPAÑAMIENTO</t>
  </si>
  <si>
    <t>CIERRE</t>
  </si>
  <si>
    <t>SIN PUBLICACIÓN</t>
  </si>
  <si>
    <t>Pocas piezas, alta función</t>
  </si>
  <si>
    <t>HITO</t>
  </si>
  <si>
    <t>INTERNO</t>
  </si>
  <si>
    <t>ID</t>
  </si>
  <si>
    <t>Pieza</t>
  </si>
  <si>
    <t>Fase</t>
  </si>
  <si>
    <t>Propósito</t>
  </si>
  <si>
    <t>Cada arte debe mover a la persona al siguiente paso.</t>
  </si>
  <si>
    <t>Formatos</t>
  </si>
  <si>
    <t>No publicar por llenar calendario.</t>
  </si>
  <si>
    <t>Arte nuevo</t>
  </si>
  <si>
    <t>Captación</t>
  </si>
  <si>
    <t>Reutilización</t>
  </si>
  <si>
    <t>Fecha límite</t>
  </si>
  <si>
    <t>Copy visual rector</t>
  </si>
  <si>
    <t>En curso</t>
  </si>
  <si>
    <t>Look &amp; feel</t>
  </si>
  <si>
    <t>Campaña + landing + post fijado</t>
  </si>
  <si>
    <t>Herramienta</t>
  </si>
  <si>
    <t>Conceptos visuales nuevos</t>
  </si>
  <si>
    <t>Responsable</t>
  </si>
  <si>
    <t>Hora</t>
  </si>
  <si>
    <t>Canal</t>
  </si>
  <si>
    <t>Acción</t>
  </si>
  <si>
    <t>A0</t>
  </si>
  <si>
    <t>Activo / pieza</t>
  </si>
  <si>
    <t>Objetivo</t>
  </si>
  <si>
    <t>CTA</t>
  </si>
  <si>
    <t>AGOSTO 2026</t>
  </si>
  <si>
    <t>Captación concentrada</t>
  </si>
  <si>
    <t>Portada temporal Facebook</t>
  </si>
  <si>
    <t>Prioridad</t>
  </si>
  <si>
    <t>Una sola campaña pagada ya activa.</t>
  </si>
  <si>
    <t>Carga</t>
  </si>
  <si>
    <t>No invertir en nuevas campañas pagadas.</t>
  </si>
  <si>
    <t>Cierre de inscripciones</t>
  </si>
  <si>
    <t>Programar</t>
  </si>
  <si>
    <t>Hacer visible el reto al visitar la página</t>
  </si>
  <si>
    <t>Última llamada + detener pauta 23:45</t>
  </si>
  <si>
    <t>Portada FB responsive</t>
  </si>
  <si>
    <t>Emails planificados</t>
  </si>
  <si>
    <t>Sí</t>
  </si>
  <si>
    <t>Facebook Page</t>
  </si>
  <si>
    <t>02-ago</t>
  </si>
  <si>
    <t>LUN</t>
  </si>
  <si>
    <t>RETO VIGOR 21 · GRATIS · INICIA 10 DE AGOSTO</t>
  </si>
  <si>
    <t>MAR</t>
  </si>
  <si>
    <t>Forja Serena; mujer y hombre o emblema; CTA limpio</t>
  </si>
  <si>
    <t>Canva</t>
  </si>
  <si>
    <t>MIÉ</t>
  </si>
  <si>
    <t>Astrid</t>
  </si>
  <si>
    <t>JUE</t>
  </si>
  <si>
    <t>VIE</t>
  </si>
  <si>
    <t>SÁB</t>
  </si>
  <si>
    <t>DOM</t>
  </si>
  <si>
    <t>Acompañamiento ligero</t>
  </si>
  <si>
    <t>21:30</t>
  </si>
  <si>
    <t>Redes marcan hitos; app, email y push sostienen el reto.</t>
  </si>
  <si>
    <t>No publicar todos los días.</t>
  </si>
  <si>
    <t>Meta Ads</t>
  </si>
  <si>
    <t>Inicio colectivo</t>
  </si>
  <si>
    <t>Campaña pagada en circulación</t>
  </si>
  <si>
    <t>Pendiente de aprobación</t>
  </si>
  <si>
    <t>Arte 1 + video</t>
  </si>
  <si>
    <t>EMPEZAMOS + Misión 1</t>
  </si>
  <si>
    <t>Generar visitas a landing</t>
  </si>
  <si>
    <t>Más información</t>
  </si>
  <si>
    <t>Posts Feed</t>
  </si>
  <si>
    <t>Meta Ads Manager</t>
  </si>
  <si>
    <t>Gerardo</t>
  </si>
  <si>
    <t>Alta</t>
  </si>
  <si>
    <t>15 min</t>
  </si>
  <si>
    <t>A1</t>
  </si>
  <si>
    <t>No</t>
  </si>
  <si>
    <t>Inscripciones abiertas</t>
  </si>
  <si>
    <t>Publicado</t>
  </si>
  <si>
    <t>Detener scroll y dirigir a landing</t>
  </si>
  <si>
    <t>1080×1350; 1080×1920; 1200×628; 1200×630</t>
  </si>
  <si>
    <t>1
CAMPAÑA PAGADA
Arte 1 activo
Post lanzamiento</t>
  </si>
  <si>
    <t>Ads, Feed, Story, Open Graph</t>
  </si>
  <si>
    <t>Listo</t>
  </si>
  <si>
    <t>RETO VIGOR 21 · 21 días para demostrarte que puedes cumplir contigo.</t>
  </si>
  <si>
    <t>2
AUDITORÍA
Presupuesto + Pixel
Portada FB temporal</t>
  </si>
  <si>
    <t>Negro, dorado, madera, atleta natural</t>
  </si>
  <si>
    <t>Costo incremental $0</t>
  </si>
  <si>
    <t>Ya creado</t>
  </si>
  <si>
    <t>Usar herramientas gratuitas o ya pagadas.</t>
  </si>
  <si>
    <t>Si pide tarjeta o upgrade, detener.</t>
  </si>
  <si>
    <t>—</t>
  </si>
  <si>
    <t>Día 7</t>
  </si>
  <si>
    <t>22:30</t>
  </si>
  <si>
    <t>Control</t>
  </si>
  <si>
    <t>Reconocimiento y retención</t>
  </si>
  <si>
    <t>Interno</t>
  </si>
  <si>
    <t>Stories / recordatorios</t>
  </si>
  <si>
    <t>Registrar lanzamiento y no editar</t>
  </si>
  <si>
    <t>Capturas / hoja de control</t>
  </si>
  <si>
    <t>Evitar cambios impulsivos</t>
  </si>
  <si>
    <t>Google Sheets</t>
  </si>
  <si>
    <t>3
CARRUSEL
Cómo funciona
FB + IG</t>
  </si>
  <si>
    <t>10 min</t>
  </si>
  <si>
    <t>A2</t>
  </si>
  <si>
    <t>4
STORY Q&amp;A
Dudas reales
Encuesta</t>
  </si>
  <si>
    <t>Cómo funciona</t>
  </si>
  <si>
    <t>5
STORY FAQ
Casa · gym · híbrido</t>
  </si>
  <si>
    <t>Claridad</t>
  </si>
  <si>
    <t>Completado</t>
  </si>
  <si>
    <t>6
SIN POST
Optimizar embudo</t>
  </si>
  <si>
    <t>Explicar evaluación, Madera, modalidades y La Forja</t>
  </si>
  <si>
    <t>7
LA FORJA
Email + push + story</t>
  </si>
  <si>
    <t>Marca primero</t>
  </si>
  <si>
    <t>Carrusel 1080×1350 · 7 láminas</t>
  </si>
  <si>
    <t>8
CUENTA REGRESIVA
Faltan 2 días
Checklist</t>
  </si>
  <si>
    <t>Todo debe sentirse Forja Serena: firme, humana, técnica y sobria.</t>
  </si>
  <si>
    <t>Sin promesas mágicas ni lenguaje fitness genérico.</t>
  </si>
  <si>
    <t>9
ÚLTIMO DÍA
Feed + stories
2 emails
Detener pauta 23:45</t>
  </si>
  <si>
    <t>Día 14</t>
  </si>
  <si>
    <t>FB + IG; fragmentos en stories</t>
  </si>
  <si>
    <t>Constancia y regreso</t>
  </si>
  <si>
    <t>Hitos durante el reto</t>
  </si>
  <si>
    <t>03-ago</t>
  </si>
  <si>
    <t>10:00</t>
  </si>
  <si>
    <t>TU PUNTO DE PARTIDA · TU SISTEMA · TU MISIÓN</t>
  </si>
  <si>
    <t>Meta + web</t>
  </si>
  <si>
    <t>Auditar presupuesto, fecha final, anuncios y Pixel</t>
  </si>
  <si>
    <t>Diagramación clara; capturas reales; no UI inventada</t>
  </si>
  <si>
    <t>Sin arte</t>
  </si>
  <si>
    <t>Día 21</t>
  </si>
  <si>
    <t>Proteger inversión y medición</t>
  </si>
  <si>
    <t>Cierre + 7 días Platinum</t>
  </si>
  <si>
    <t>Meta Ads + Events Manager</t>
  </si>
  <si>
    <t>10
EMPEZAMOS
Misión 1
Feed + email + push</t>
  </si>
  <si>
    <t>Gerardo + Astrid</t>
  </si>
  <si>
    <t>11
INTERNO
Push a pendientes</t>
  </si>
  <si>
    <t>20 min</t>
  </si>
  <si>
    <t>12
COMUNIDAD
Check-in breve</t>
  </si>
  <si>
    <t>13
EMAIL
Primera resistencia
Push segmentado</t>
  </si>
  <si>
    <t>Pendiente</t>
  </si>
  <si>
    <t>14
SIN POST
Soporte</t>
  </si>
  <si>
    <t>15
STORY SIMPLE
Mañana Día 7</t>
  </si>
  <si>
    <t>MOMENTOS DE ALTA PRIORIDAD</t>
  </si>
  <si>
    <t>16
DÍA 7
Feed + story
Email + push</t>
  </si>
  <si>
    <t>A3</t>
  </si>
  <si>
    <t>Plantilla FAQ / encuesta</t>
  </si>
  <si>
    <t>Escucha</t>
  </si>
  <si>
    <t>Responder dudas sin producir artes nuevos cada día</t>
  </si>
  <si>
    <t>1080×1920 editable</t>
  </si>
  <si>
    <t>11:00</t>
  </si>
  <si>
    <t>Stories 4, 5, 8, 15, 20 y 27 ago</t>
  </si>
  <si>
    <t>¿QUÉ NECESITAS SABER ANTES DE COMENZAR?</t>
  </si>
  <si>
    <t>Momento</t>
  </si>
  <si>
    <t>Facebook</t>
  </si>
  <si>
    <t>Fondo carbón; línea de veta; un dato y un sticker</t>
  </si>
  <si>
    <t>Qué debe existir</t>
  </si>
  <si>
    <t>Cambiar portada temporal por campaña</t>
  </si>
  <si>
    <t>Canal central</t>
  </si>
  <si>
    <t>Portada FB Reto Vigor 21</t>
  </si>
  <si>
    <t>17
MÉTRICAS
Revisión interna</t>
  </si>
  <si>
    <t>18
SIN POST</t>
  </si>
  <si>
    <t>Conocer el reto</t>
  </si>
  <si>
    <t>19
SIN POST</t>
  </si>
  <si>
    <t>Canva + Facebook</t>
  </si>
  <si>
    <t>20
STORY SIMPLE
Una Misión a la vez</t>
  </si>
  <si>
    <t>21
SIN POST</t>
  </si>
  <si>
    <t>Arte</t>
  </si>
  <si>
    <t>22
SIN POST</t>
  </si>
  <si>
    <t>Media</t>
  </si>
  <si>
    <t>Email</t>
  </si>
  <si>
    <t>23
DÍA 14
Feed + story
Email + push</t>
  </si>
  <si>
    <t>45 min</t>
  </si>
  <si>
    <t>Push</t>
  </si>
  <si>
    <t>Duración estimada</t>
  </si>
  <si>
    <t>A4</t>
  </si>
  <si>
    <t>Gasto adicional</t>
  </si>
  <si>
    <t>Pendiente de Aprobación</t>
  </si>
  <si>
    <t>La Forja</t>
  </si>
  <si>
    <t>Activación</t>
  </si>
  <si>
    <t>Preparar a los inscritos antes del Día 1</t>
  </si>
  <si>
    <t>1080×1920 + recorte cabecera email</t>
  </si>
  <si>
    <t>Story, comunidad, email, app</t>
  </si>
  <si>
    <t>06-ago</t>
  </si>
  <si>
    <t>TE INSCRIBES HOY · TE PREPARAS DESDE HOY</t>
  </si>
  <si>
    <t>Luz dorada; madera; preparación serena</t>
  </si>
  <si>
    <t>24
MÉTRICAS
Revisión interna</t>
  </si>
  <si>
    <t>11:15</t>
  </si>
  <si>
    <t>25
CERTIFICADOS
Cerrar textos y folios</t>
  </si>
  <si>
    <t>Estabilización</t>
  </si>
  <si>
    <t>26
DISEÑO
Plantillas de diplomas</t>
  </si>
  <si>
    <t>Auditar presupuesto, Pixel y enlaces</t>
  </si>
  <si>
    <t>Facebook + Instagram</t>
  </si>
  <si>
    <t>27
STORY SIMPLE
Recta final</t>
  </si>
  <si>
    <t>Proteger inversión</t>
  </si>
  <si>
    <t>Fijar post de lanzamiento y actualizar bio/enlace</t>
  </si>
  <si>
    <t>28
INSIGNIA
Prueba de nombres</t>
  </si>
  <si>
    <t>Arte 1 existente</t>
  </si>
  <si>
    <t>29
SIN POST
Preparar cierre</t>
  </si>
  <si>
    <t>Coherencia al revisar perfiles</t>
  </si>
  <si>
    <t>30
DÍA 21
Última Misión
Feed + email + push
7 días Platinum</t>
  </si>
  <si>
    <t>Inscribirme</t>
  </si>
  <si>
    <t>Meta Business Suite</t>
  </si>
  <si>
    <t>$0</t>
  </si>
  <si>
    <t>A5</t>
  </si>
  <si>
    <t>Último día</t>
  </si>
  <si>
    <t>Cierre</t>
  </si>
  <si>
    <t>Crear urgencia real y cerrar inscripciones</t>
  </si>
  <si>
    <t>1080×1350 + 1080×1920</t>
  </si>
  <si>
    <t>Feed, Stories, WhatsApp, opcional reemplazo pauta</t>
  </si>
  <si>
    <t>08-ago</t>
  </si>
  <si>
    <t>HOY CIERRAN LAS INSCRIPCIONES · 23:59 H CDMX</t>
  </si>
  <si>
    <t>Carrusel Cómo funciona</t>
  </si>
  <si>
    <t>31
CONTINUIDAD
Email Platinum
App / comunidad</t>
  </si>
  <si>
    <t>Más contraste; sobrio; sin escasez falsa</t>
  </si>
  <si>
    <t>FB + IG</t>
  </si>
  <si>
    <t>Reducir dudas</t>
  </si>
  <si>
    <t>Opcional</t>
  </si>
  <si>
    <t>90 min</t>
  </si>
  <si>
    <t>09:00</t>
  </si>
  <si>
    <t>Publicar carrusel Cómo funciona</t>
  </si>
  <si>
    <t>A6</t>
  </si>
  <si>
    <t>Activación previa</t>
  </si>
  <si>
    <t>Arte 2 · Carrusel</t>
  </si>
  <si>
    <t>EMPEZAMOS</t>
  </si>
  <si>
    <t>Email + app + story</t>
  </si>
  <si>
    <t>Resolver objeciones y explicar recorrido</t>
  </si>
  <si>
    <t>Inicio</t>
  </si>
  <si>
    <t>Evitar abandono antes del Día 1</t>
  </si>
  <si>
    <t>Inscríbete gratis</t>
  </si>
  <si>
    <t>Ritual del Día 1</t>
  </si>
  <si>
    <t>1080×1350 + 1080×1920 + cabecera email</t>
  </si>
  <si>
    <t>Astrid + Gerardo</t>
  </si>
  <si>
    <t>60 min</t>
  </si>
  <si>
    <t>Feed, Story, comunidad, email, app</t>
  </si>
  <si>
    <t>09-ago</t>
  </si>
  <si>
    <t>EMPEZAMOS · TU PRIMERA MISIÓN ESTÁ LISTA</t>
  </si>
  <si>
    <t>Fuerza controlada; sentido de comienzo</t>
  </si>
  <si>
    <t>Última llamada y preparación</t>
  </si>
  <si>
    <t>Feed + stories + email</t>
  </si>
  <si>
    <t>Conversión final</t>
  </si>
  <si>
    <t>75 min</t>
  </si>
  <si>
    <t>18:00</t>
  </si>
  <si>
    <t>A7</t>
  </si>
  <si>
    <t>Enviar bienvenida a inscritos nuevos</t>
  </si>
  <si>
    <t>Email 01</t>
  </si>
  <si>
    <t>Reconocer primera semana</t>
  </si>
  <si>
    <t>Llevar a La Forja</t>
  </si>
  <si>
    <t>1080×1350 + crop story</t>
  </si>
  <si>
    <t>Entrar a La Forja</t>
  </si>
  <si>
    <t>Brevo Free / manual</t>
  </si>
  <si>
    <t>Feed, Story, email, comunidad</t>
  </si>
  <si>
    <t>15-ago</t>
  </si>
  <si>
    <t>SEPTIEMBRE 2026 · CIERRE</t>
  </si>
  <si>
    <t>Misión 1 y ritual</t>
  </si>
  <si>
    <t>YA NO ES SOLO INTENCIÓN</t>
  </si>
  <si>
    <t>App + email + redes</t>
  </si>
  <si>
    <t>30 min</t>
  </si>
  <si>
    <t>Veta visible; progreso sin confeti</t>
  </si>
  <si>
    <t>A8</t>
  </si>
  <si>
    <t>Instagram + Facebook</t>
  </si>
  <si>
    <t>Reforzar constancia</t>
  </si>
  <si>
    <t>Historia con preguntas y encuesta</t>
  </si>
  <si>
    <t>Plantilla FAQ</t>
  </si>
  <si>
    <t>Detectar dudas reales</t>
  </si>
  <si>
    <t>Responder</t>
  </si>
  <si>
    <t>22-ago</t>
  </si>
  <si>
    <t>TU CONSTANCIA YA TIENE RAÍCES</t>
  </si>
  <si>
    <t>Madera más presente; sobrio</t>
  </si>
  <si>
    <t>1
TESTIMONIO
Solicitud opcional</t>
  </si>
  <si>
    <t>2
EVALUACIÓN
Revisión de resultados</t>
  </si>
  <si>
    <t>3
EVALUACIÓN
Validación</t>
  </si>
  <si>
    <t>Regla operativa: no se crea contenido diario. Se producen piezas nuevas solo para captación, La Forja, cierre, inicio y los hitos 7–14–21. Todo lo demás se resuelve con plantillas simples, reutilización y mensajes dentro de la app.</t>
  </si>
  <si>
    <t>4
GANADORES
Arte + certificados</t>
  </si>
  <si>
    <t>5
QA FINAL
Consentimientos</t>
  </si>
  <si>
    <t>6
RESULTADOS
Ganadores + diplomas</t>
  </si>
  <si>
    <t>A9</t>
  </si>
  <si>
    <t>Día 21 / Platinum</t>
  </si>
  <si>
    <t>19:00</t>
  </si>
  <si>
    <t>Celebrar y conducir a continuidad</t>
  </si>
  <si>
    <t>Stories</t>
  </si>
  <si>
    <t>1080×1350 + 1080×1920 + variante Platinum</t>
  </si>
  <si>
    <t>FAQ casa, gimnasio, híbrido</t>
  </si>
  <si>
    <t>Plantilla FAQ reutilizable</t>
  </si>
  <si>
    <t>Feed, Story, email, app</t>
  </si>
  <si>
    <t>Reducir fricción</t>
  </si>
  <si>
    <t>29-ago</t>
  </si>
  <si>
    <t>CUMPLISTE · TU SIGUIENTE ETAPA COMIENZA AHORA</t>
  </si>
  <si>
    <t>Marfil + dorado; cierre editorial</t>
  </si>
  <si>
    <t>A10</t>
  </si>
  <si>
    <t>Insignia de finalización</t>
  </si>
  <si>
    <t>Reconocimiento</t>
  </si>
  <si>
    <t>Entregar activo compartible sin llamarlo diploma</t>
  </si>
  <si>
    <t>20:00</t>
  </si>
  <si>
    <t>1080×1080 editable</t>
  </si>
  <si>
    <t>Optimización</t>
  </si>
  <si>
    <t>Revisar embudo y soporte; no publicar</t>
  </si>
  <si>
    <t>Entrega individual, comunidad</t>
  </si>
  <si>
    <t>Métricas</t>
  </si>
  <si>
    <t>28-ago</t>
  </si>
  <si>
    <t>Corregir bloqueos reales</t>
  </si>
  <si>
    <t>PRIMERA GENERACIÓN COMPLETADA · 21 DÍAS</t>
  </si>
  <si>
    <t>Sello V&amp;V; nombre opcional; sin QR falso</t>
  </si>
  <si>
    <t>Sheets + app</t>
  </si>
  <si>
    <t>A11</t>
  </si>
  <si>
    <t>Diploma Atleta Vigor de la Temporada</t>
  </si>
  <si>
    <t>Resultados</t>
  </si>
  <si>
    <t>Reconocimiento oficial al primer lugar</t>
  </si>
  <si>
    <t>A4 horizontal PDF + PNG</t>
  </si>
  <si>
    <t>Email, archivo, publicación</t>
  </si>
  <si>
    <t>Email + push + comunidad + story</t>
  </si>
  <si>
    <t>04-sep</t>
  </si>
  <si>
    <t>ATLETA VIGOR DE LA TEMPORADA</t>
  </si>
  <si>
    <t>Activar preparación previa</t>
  </si>
  <si>
    <t>Marfil, borde grafito, veta dorada, folio</t>
  </si>
  <si>
    <t>Arte 3 · La Forja</t>
  </si>
  <si>
    <t>Evitar que el inscrito desaparezca</t>
  </si>
  <si>
    <t>Brevo + OneSignal + Meta</t>
  </si>
  <si>
    <t>A12</t>
  </si>
  <si>
    <t>Diploma Segundo lugar</t>
  </si>
  <si>
    <t>Reconocimiento oficial al segundo lugar</t>
  </si>
  <si>
    <t>12:00</t>
  </si>
  <si>
    <t>SEGUNDO LUGAR</t>
  </si>
  <si>
    <t>Preparación</t>
  </si>
  <si>
    <t>Misma familia del diploma principal</t>
  </si>
  <si>
    <t>Cuenta regresiva y checklist</t>
  </si>
  <si>
    <t>Plantilla countdown</t>
  </si>
  <si>
    <t>Preparar Día 1</t>
  </si>
  <si>
    <t>Revisar mi acceso</t>
  </si>
  <si>
    <t>25 min</t>
  </si>
  <si>
    <t>A13</t>
  </si>
  <si>
    <t>Ganadores</t>
  </si>
  <si>
    <t>Cerrar temporada y construir prueba social real</t>
  </si>
  <si>
    <t>05-sep</t>
  </si>
  <si>
    <t>LA PRIMERA GENERACIÓN YA TIENE REPRESENTANTES</t>
  </si>
  <si>
    <t>Fotos autorizadas; no IA; nombres confirmados</t>
  </si>
  <si>
    <t>08:00</t>
  </si>
  <si>
    <t>FB + IG + WhatsApp</t>
  </si>
  <si>
    <t>Publicar Último día</t>
  </si>
  <si>
    <t>Arte 4 · Último día</t>
  </si>
  <si>
    <t>Inscríbete antes de 23:59</t>
  </si>
  <si>
    <t>Última llamada a contactos con consentimiento</t>
  </si>
  <si>
    <t>Email 03A</t>
  </si>
  <si>
    <t>Recuperar interesados</t>
  </si>
  <si>
    <t>Inscribirme gratis</t>
  </si>
  <si>
    <t>Brevo Free</t>
  </si>
  <si>
    <t>Email + comunidad</t>
  </si>
  <si>
    <t>Mañana comenzamos para inscritos</t>
  </si>
  <si>
    <t>Email 03B</t>
  </si>
  <si>
    <t>Preparar cuerpo y entorno</t>
  </si>
  <si>
    <t>Revisar La Forja</t>
  </si>
  <si>
    <t>Brevo + comunidad</t>
  </si>
  <si>
    <t>23:45</t>
  </si>
  <si>
    <t>Detener campaña pagada</t>
  </si>
  <si>
    <t>Evitar gasto tras cierre</t>
  </si>
  <si>
    <t>00:00</t>
  </si>
  <si>
    <t>App + email + push</t>
  </si>
  <si>
    <t>Desbloquear Misión 1 y enviar EMPEZAMOS</t>
  </si>
  <si>
    <t>Arte 5 · EMPEZAMOS</t>
  </si>
  <si>
    <t>Convertir inscripción en acción</t>
  </si>
  <si>
    <t>Comenzar mi primera Misión</t>
  </si>
  <si>
    <t>App + Brevo + OneSignal</t>
  </si>
  <si>
    <t>Publicación pública EMPEZAMOS</t>
  </si>
  <si>
    <t>Ritual colectivo y marca</t>
  </si>
  <si>
    <t>Abrir V&amp;V</t>
  </si>
  <si>
    <t>08:15</t>
  </si>
  <si>
    <t>Marca</t>
  </si>
  <si>
    <t>Cambiar portada a “Primera Generación en marcha” o restaurar evergreen</t>
  </si>
  <si>
    <t>Adaptación de portada</t>
  </si>
  <si>
    <t>Evitar convocatoria vencida</t>
  </si>
  <si>
    <t>Adherencia</t>
  </si>
  <si>
    <t>Recordatorio solo a pendientes</t>
  </si>
  <si>
    <t>Push segmentado</t>
  </si>
  <si>
    <t>Recuperar Día 1 / Día 2</t>
  </si>
  <si>
    <t>Abrir mi Misión</t>
  </si>
  <si>
    <t>OneSignal</t>
  </si>
  <si>
    <t>Comunidad</t>
  </si>
  <si>
    <t>Check-in breve</t>
  </si>
  <si>
    <t>Texto / encuesta</t>
  </si>
  <si>
    <t>Fomentar presencia</t>
  </si>
  <si>
    <t>Responder check-in</t>
  </si>
  <si>
    <t>Comunidad V&amp;V</t>
  </si>
  <si>
    <t>Email + push</t>
  </si>
  <si>
    <t>Primera resistencia</t>
  </si>
  <si>
    <t>Email 05</t>
  </si>
  <si>
    <t>Normalizar la caída de motivación</t>
  </si>
  <si>
    <t>Revisar mi Misión</t>
  </si>
  <si>
    <t>Brevo + OneSignal</t>
  </si>
  <si>
    <t>Story</t>
  </si>
  <si>
    <t>Mañana Día 7</t>
  </si>
  <si>
    <t>Plantilla hito</t>
  </si>
  <si>
    <t>Preparar reconocimiento</t>
  </si>
  <si>
    <t>Continuar</t>
  </si>
  <si>
    <t>Baja</t>
  </si>
  <si>
    <t>Hito Día 7</t>
  </si>
  <si>
    <t>Feed + story + email + push + comunidad</t>
  </si>
  <si>
    <t>Arte 6 · Día 7</t>
  </si>
  <si>
    <t>Retención y sentido de progreso</t>
  </si>
  <si>
    <t>Continuar mi reto</t>
  </si>
  <si>
    <t>Meta + Brevo + OneSignal</t>
  </si>
  <si>
    <t>Revisión de activación y retención</t>
  </si>
  <si>
    <t>KPI dashboard</t>
  </si>
  <si>
    <t>Aprender y corregir soporte</t>
  </si>
  <si>
    <t>Story + comunidad</t>
  </si>
  <si>
    <t>Una Misión a la vez</t>
  </si>
  <si>
    <t>Plantilla simple</t>
  </si>
  <si>
    <t>Mantener presencia sin saturar</t>
  </si>
  <si>
    <t>Meta + comunidad</t>
  </si>
  <si>
    <t>Hito Día 14</t>
  </si>
  <si>
    <t>Arte 7 · Día 14</t>
  </si>
  <si>
    <t>Retención y regreso</t>
  </si>
  <si>
    <t>Revisión Día 14</t>
  </si>
  <si>
    <t>Identificar riesgo de abandono</t>
  </si>
  <si>
    <t>17:00</t>
  </si>
  <si>
    <t>Diseño</t>
  </si>
  <si>
    <t>Cerrar textos, folios y reglas de certificados</t>
  </si>
  <si>
    <t>Plantillas diploma</t>
  </si>
  <si>
    <t>Evitar improvisación al final</t>
  </si>
  <si>
    <t>Canva + Sheets</t>
  </si>
  <si>
    <t>Crear diplomas maestros e insignia</t>
  </si>
  <si>
    <t>Diplomas + insignia</t>
  </si>
  <si>
    <t>Reconocimiento profesional</t>
  </si>
  <si>
    <t>Recta final</t>
  </si>
  <si>
    <t>Sostener atención</t>
  </si>
  <si>
    <t>QA</t>
  </si>
  <si>
    <t>Probar nombres largos y exportación</t>
  </si>
  <si>
    <t>Insignia + diploma</t>
  </si>
  <si>
    <t>Evitar errores de emisión</t>
  </si>
  <si>
    <t>07:00</t>
  </si>
  <si>
    <t>Hito Día 21</t>
  </si>
  <si>
    <t>Tu última Misión está lista</t>
  </si>
  <si>
    <t>Email 08</t>
  </si>
  <si>
    <t>Activar finalización</t>
  </si>
  <si>
    <t>Completar mi Día 21</t>
  </si>
  <si>
    <t>Feed + story + comunidad + app</t>
  </si>
  <si>
    <t>CUMPLISTE + 7 días Platinum</t>
  </si>
  <si>
    <t>Arte 8 · Día 21</t>
  </si>
  <si>
    <t>Celebrar y abrir continuidad</t>
  </si>
  <si>
    <t>Explorar Platinum</t>
  </si>
  <si>
    <t>Meta + app</t>
  </si>
  <si>
    <t>Continuidad</t>
  </si>
  <si>
    <t>Email + app</t>
  </si>
  <si>
    <t>Activar siguiente etapa</t>
  </si>
  <si>
    <t>Email 10 · Platinum</t>
  </si>
  <si>
    <t>Convertir logro en permanencia</t>
  </si>
  <si>
    <t>Brevo + app</t>
  </si>
  <si>
    <t>Email + formulario</t>
  </si>
  <si>
    <t>Solicitar testimonio opcional</t>
  </si>
  <si>
    <t>Email 11 + Google Form</t>
  </si>
  <si>
    <t>Recoger aprendizaje y prueba social ética</t>
  </si>
  <si>
    <t>Contar mi experiencia</t>
  </si>
  <si>
    <t>Brevo + Google Forms</t>
  </si>
  <si>
    <t>35 min</t>
  </si>
  <si>
    <t>Evaluación</t>
  </si>
  <si>
    <t>Revisar Clasificación Vigor</t>
  </si>
  <si>
    <t>Matriz interna</t>
  </si>
  <si>
    <t>Validar ganadores</t>
  </si>
  <si>
    <t>Generar arte de ganadores y diplomas finales</t>
  </si>
  <si>
    <t>Arte 9 + diplomas</t>
  </si>
  <si>
    <t>Cerrar temporada con autoridad</t>
  </si>
  <si>
    <t>Consentimientos, nombres, premios y enlaces</t>
  </si>
  <si>
    <t>Checklist final</t>
  </si>
  <si>
    <t>Evitar errores públicos</t>
  </si>
  <si>
    <t>Sheets + Drive</t>
  </si>
  <si>
    <t>Feed + story + email + comunidad</t>
  </si>
  <si>
    <t>Anunciar ganadores</t>
  </si>
  <si>
    <t>Arte 9 · Ganadores</t>
  </si>
  <si>
    <t>Reconocer disciplina y cerrar temporada</t>
  </si>
  <si>
    <t>Ver resultados</t>
  </si>
  <si>
    <t>Meta + Brevo + comunidad</t>
  </si>
  <si>
    <t>SECUENCIA DE EMAIL · CERO COSTO</t>
  </si>
  <si>
    <t>Brevo Free como opción principal; envío manual por campaña si no se automatiza.</t>
  </si>
  <si>
    <t>Fecha / trigger</t>
  </si>
  <si>
    <t>Audiencia</t>
  </si>
  <si>
    <t>Asunto</t>
  </si>
  <si>
    <t>Preheader</t>
  </si>
  <si>
    <t>Automatización</t>
  </si>
  <si>
    <t>Requiere arte</t>
  </si>
  <si>
    <t>E01</t>
  </si>
  <si>
    <t>Inscripción confirmada</t>
  </si>
  <si>
    <t>Inmediato / corte diario</t>
  </si>
  <si>
    <t>Inscritos nuevos</t>
  </si>
  <si>
    <t>Ya estás dentro de la Primera Generación</t>
  </si>
  <si>
    <t>Tu lugar está confirmado. Ahora comienza La Forja.</t>
  </si>
  <si>
    <t>Confirmación + preparación</t>
  </si>
  <si>
    <t>Manual diario o trigger</t>
  </si>
  <si>
    <t>Cabecera A4</t>
  </si>
  <si>
    <t>E02</t>
  </si>
  <si>
    <t>Faltan 3 días</t>
  </si>
  <si>
    <t>07-ago 09:00</t>
  </si>
  <si>
    <t>Inscritos</t>
  </si>
  <si>
    <t>Faltan 3 días: prepara tu punto de partida</t>
  </si>
  <si>
    <t>No necesitas entrenar antes. Necesitas llegar preparado.</t>
  </si>
  <si>
    <t>Activar acceso, Madera y notificaciones</t>
  </si>
  <si>
    <t>Abrir Veta &amp; Vigor</t>
  </si>
  <si>
    <t>Programado manual</t>
  </si>
  <si>
    <t>E03A</t>
  </si>
  <si>
    <t>09-ago 10:00</t>
  </si>
  <si>
    <t>Interesados con consentimiento</t>
  </si>
  <si>
    <t>Hoy cierran las inscripciones al Reto Vigor 21</t>
  </si>
  <si>
    <t>La Primera Generación comienza mañana.</t>
  </si>
  <si>
    <t>Cabecera A5</t>
  </si>
  <si>
    <t>E03B</t>
  </si>
  <si>
    <t>Mañana comenzamos</t>
  </si>
  <si>
    <t>09-ago 20:00</t>
  </si>
  <si>
    <t>Descansa. Prepara tu espacio. Tu primera Misión está cerca.</t>
  </si>
  <si>
    <t>E04</t>
  </si>
  <si>
    <t>10-ago 00:00</t>
  </si>
  <si>
    <t>EMPEZAMOS. Tu primera Misión está lista</t>
  </si>
  <si>
    <t>Hoy comienza tu compromiso.</t>
  </si>
  <si>
    <t>Activar Misión 1</t>
  </si>
  <si>
    <t>Brevo Free / OneSignal email si ya está configurado</t>
  </si>
  <si>
    <t>Cabecera A6</t>
  </si>
  <si>
    <t>E05</t>
  </si>
  <si>
    <t>13-ago 08:00</t>
  </si>
  <si>
    <t>Atletas activos</t>
  </si>
  <si>
    <t>El día difícil también forma parte del reto</t>
  </si>
  <si>
    <t>La estructura importa más cuando la motivación cambia.</t>
  </si>
  <si>
    <t>Prevenir abandono temprano</t>
  </si>
  <si>
    <t>E06</t>
  </si>
  <si>
    <t>16-ago 08:00</t>
  </si>
  <si>
    <t>Atletas inscritos</t>
  </si>
  <si>
    <t>Día 7: ya no es solo intención</t>
  </si>
  <si>
    <t>Una semana de decisiones ya forma parte de tu historia.</t>
  </si>
  <si>
    <t>Reconocer y retener</t>
  </si>
  <si>
    <t>Cabecera A7</t>
  </si>
  <si>
    <t>E07</t>
  </si>
  <si>
    <t>23-ago 08:00</t>
  </si>
  <si>
    <t>Día 14: tu constancia ya tiene raíces</t>
  </si>
  <si>
    <t>La disciplina no exige perfección. Exige volver.</t>
  </si>
  <si>
    <t>Retención</t>
  </si>
  <si>
    <t>Cabecera A8</t>
  </si>
  <si>
    <t>E08</t>
  </si>
  <si>
    <t>Última Misión</t>
  </si>
  <si>
    <t>30-ago 07:00</t>
  </si>
  <si>
    <t>Hoy completas el Día 21.</t>
  </si>
  <si>
    <t>Finalización</t>
  </si>
  <si>
    <t>Cabecera A9</t>
  </si>
  <si>
    <t>E09</t>
  </si>
  <si>
    <t>Cumpliste</t>
  </si>
  <si>
    <t>Trigger al completar / 30-ago</t>
  </si>
  <si>
    <t>Finalistas</t>
  </si>
  <si>
    <t>Tu Reto Vigor 21 está completo.</t>
  </si>
  <si>
    <t>Reconocer + activar continuidad</t>
  </si>
  <si>
    <t>Brevo Free / app</t>
  </si>
  <si>
    <t>Manual por lista</t>
  </si>
  <si>
    <t>E10</t>
  </si>
  <si>
    <t>Platinum</t>
  </si>
  <si>
    <t>31-ago 10:00</t>
  </si>
  <si>
    <t>Tu siguiente etapa ya comenzó</t>
  </si>
  <si>
    <t>Tus 7 días Platinum están activos.</t>
  </si>
  <si>
    <t>Explorar ecosistema</t>
  </si>
  <si>
    <t>E11</t>
  </si>
  <si>
    <t>Testimonio opcional</t>
  </si>
  <si>
    <t>01-sep 10:00</t>
  </si>
  <si>
    <t>Tu experiencia puede ayudar a otro atleta</t>
  </si>
  <si>
    <t>Compartir es opcional y nada se publica sin autorización.</t>
  </si>
  <si>
    <t>Aprendizaje + prueba social ética</t>
  </si>
  <si>
    <t>Brevo Free + Google Forms</t>
  </si>
  <si>
    <t>E12</t>
  </si>
  <si>
    <t>06-sep 10:00</t>
  </si>
  <si>
    <t>Toda la cohorte</t>
  </si>
  <si>
    <t>La Primera Generación ya tiene representantes</t>
  </si>
  <si>
    <t>Conoce a los atletas reconocidos por su disciplina.</t>
  </si>
  <si>
    <t>Cierre de temporada</t>
  </si>
  <si>
    <t>Cabecera A13</t>
  </si>
  <si>
    <t>Regla de costo $0: el plan gratuito de Brevo permite hasta 300 envíos diarios. Si la cohorte supera ese volumen, dividir por segmentos o días sin comprar un plan. No enviar datos sensibles (peso, medidas, fotografías, respuestas de salud) a la plataforma de email.</t>
  </si>
  <si>
    <t>REDES, PERFILES Y BANNERS</t>
  </si>
  <si>
    <t>Presencia suficiente para construir confianza sin convertir el lanzamiento en una operación diaria.</t>
  </si>
  <si>
    <t>Ubicación</t>
  </si>
  <si>
    <t>Tipo</t>
  </si>
  <si>
    <t>Intención</t>
  </si>
  <si>
    <t>Copy / enfoque</t>
  </si>
  <si>
    <t>Duración</t>
  </si>
  <si>
    <t>Portada de página</t>
  </si>
  <si>
    <t>Banner</t>
  </si>
  <si>
    <t>A0 Portada temporal</t>
  </si>
  <si>
    <t>Hacer visible el reto a quien visite el perfil</t>
  </si>
  <si>
    <t>02–09 ago</t>
  </si>
  <si>
    <t>Feed</t>
  </si>
  <si>
    <t>A1 Lanzamiento</t>
  </si>
  <si>
    <t>Prueba social mínima y coherencia con la pauta</t>
  </si>
  <si>
    <t>Post fijado de inscripciones abiertas</t>
  </si>
  <si>
    <t>Hasta 09 ago</t>
  </si>
  <si>
    <t>PUSH, APP Y COMUNIDAD</t>
  </si>
  <si>
    <t>Instagram</t>
  </si>
  <si>
    <t>Biografía</t>
  </si>
  <si>
    <t>Perfil</t>
  </si>
  <si>
    <t>Texto</t>
  </si>
  <si>
    <t>Llevar tráfico orgánico a landing</t>
  </si>
  <si>
    <t>Reto Vigor 21 · Gratis · Inicia 10 de agosto</t>
  </si>
  <si>
    <t>Enlace en bio</t>
  </si>
  <si>
    <t>La red social inspira; la app y las notificaciones sostienen el comportamiento.</t>
  </si>
  <si>
    <t>A2 Cómo funciona</t>
  </si>
  <si>
    <t>Explicar recorrido y modalidades</t>
  </si>
  <si>
    <t>Evaluación → Madera → La Forja → Misión 1</t>
  </si>
  <si>
    <t>Permanente</t>
  </si>
  <si>
    <t>A3 FAQ</t>
  </si>
  <si>
    <t>Escuchar dudas reales</t>
  </si>
  <si>
    <t>Caja de preguntas + encuesta</t>
  </si>
  <si>
    <t>24 h</t>
  </si>
  <si>
    <t>Segmento</t>
  </si>
  <si>
    <t>Título</t>
  </si>
  <si>
    <t>Mensaje central</t>
  </si>
  <si>
    <t>CTA / deep link</t>
  </si>
  <si>
    <t>Condición</t>
  </si>
  <si>
    <t>Notas</t>
  </si>
  <si>
    <t>Responder objeciones</t>
  </si>
  <si>
    <t>Casa · gimnasio · Sistema Híbrido</t>
  </si>
  <si>
    <t>Al confirmar</t>
  </si>
  <si>
    <t>Push + comunidad</t>
  </si>
  <si>
    <t>Inscrito nuevo</t>
  </si>
  <si>
    <t>Tu lugar está confirmado</t>
  </si>
  <si>
    <t>Entra a La Forja y prepárate para comenzar el 10 de agosto.</t>
  </si>
  <si>
    <t>A4 La Forja</t>
  </si>
  <si>
    <t>Activar inscritos</t>
  </si>
  <si>
    <t>Te inscribes hoy. Te preparas desde hoy.</t>
  </si>
  <si>
    <t>OneSignal + app</t>
  </si>
  <si>
    <t>No enviar a no inscritos</t>
  </si>
  <si>
    <t>A3 Countdown</t>
  </si>
  <si>
    <t>Faltan 2 días · completa evaluación y activa notificaciones</t>
  </si>
  <si>
    <t>Revisa tu Madera, prepara tu espacio y activa tus notificaciones.</t>
  </si>
  <si>
    <t>Inscrito</t>
  </si>
  <si>
    <t>A5 Último día</t>
  </si>
  <si>
    <t>Hoy cierran las inscripciones · 23:59 h CDMX</t>
  </si>
  <si>
    <t>Una sola vez</t>
  </si>
  <si>
    <t>09 ago</t>
  </si>
  <si>
    <t>Urgencia real</t>
  </si>
  <si>
    <t>Descansa. Prepara tu espacio. Tu primera Misión estará lista al iniciar el día.</t>
  </si>
  <si>
    <t>Mensaje fijado</t>
  </si>
  <si>
    <t>A6 EMPEZAMOS</t>
  </si>
  <si>
    <t>Ritual colectivo</t>
  </si>
  <si>
    <t>Tu primera Misión está lista</t>
  </si>
  <si>
    <t>Tu primera Misión del Reto Vigor 21 ya está lista.</t>
  </si>
  <si>
    <t>A0 variante en marcha</t>
  </si>
  <si>
    <t>Retirar convocatoria vencida</t>
  </si>
  <si>
    <t>Primera Generación en marcha</t>
  </si>
  <si>
    <t>Misión 1 activa</t>
  </si>
  <si>
    <t>Desde 10 ago</t>
  </si>
  <si>
    <t>Prioridad máxima</t>
  </si>
  <si>
    <t>Actualizar estado</t>
  </si>
  <si>
    <t>Primera Generación en marcha · 10–30 agosto</t>
  </si>
  <si>
    <t>Hasta 30 ago</t>
  </si>
  <si>
    <t>Diario 07:00</t>
  </si>
  <si>
    <t>Misión {día} disponible</t>
  </si>
  <si>
    <t>Una Misión a la vez. Abre V&amp;V y continúa tu proceso.</t>
  </si>
  <si>
    <t>Abrir Misión</t>
  </si>
  <si>
    <t>Día desbloqueado</t>
  </si>
  <si>
    <t>A3 Hito</t>
  </si>
  <si>
    <t>Anticipar Día 7</t>
  </si>
  <si>
    <t>No más de 1 general/día</t>
  </si>
  <si>
    <t>Mañana reconocemos la primera semana</t>
  </si>
  <si>
    <t>Diario 19:00</t>
  </si>
  <si>
    <t>No completaron el día</t>
  </si>
  <si>
    <t>Tu Misión sigue disponible</t>
  </si>
  <si>
    <t>A7 Día 7</t>
  </si>
  <si>
    <t>Todavía puedes presentarte y completar tu registro.</t>
  </si>
  <si>
    <t>Ya no es solo intención</t>
  </si>
  <si>
    <t>Misión pendiente</t>
  </si>
  <si>
    <t>Recuperación</t>
  </si>
  <si>
    <t>No enviar a cumplidos</t>
  </si>
  <si>
    <t>A3 Recordatorio</t>
  </si>
  <si>
    <t>Presencia moderada</t>
  </si>
  <si>
    <t>12-ago 19:00</t>
  </si>
  <si>
    <t>Todos</t>
  </si>
  <si>
    <t>¿Cómo llegas hoy?</t>
  </si>
  <si>
    <t>Responde con una palabra: cuerpo, energía y enfoque.</t>
  </si>
  <si>
    <t>Abierto</t>
  </si>
  <si>
    <t>A8 Día 14</t>
  </si>
  <si>
    <t>Constancia</t>
  </si>
  <si>
    <t>Breve</t>
  </si>
  <si>
    <t>Tu constancia ya tiene raíces</t>
  </si>
  <si>
    <t>Atletas con baja actividad</t>
  </si>
  <si>
    <t>La estructura permanece</t>
  </si>
  <si>
    <t>El día difícil también forma parte del reto. Revisa tu Misión.</t>
  </si>
  <si>
    <t>Actividad baja</t>
  </si>
  <si>
    <t>A3 Recta final</t>
  </si>
  <si>
    <t>Prevenir abandono</t>
  </si>
  <si>
    <t>Quedan 4 Misiones</t>
  </si>
  <si>
    <t>Segmentado</t>
  </si>
  <si>
    <t>Ya no es solo intención. Continúa una Misión a la vez.</t>
  </si>
  <si>
    <t>A9 Día 21</t>
  </si>
  <si>
    <t>Cierre y continuidad</t>
  </si>
  <si>
    <t>Cumpliste. Tu siguiente etapa comienza ahora.</t>
  </si>
  <si>
    <t>Tu constancia ya tiene raíces. La Misión de hoy te espera.</t>
  </si>
  <si>
    <t>A13 Ganadores</t>
  </si>
  <si>
    <t>Reconocimiento y marca</t>
  </si>
  <si>
    <t>Completa el Día 21 y abre tu siguiente etapa.</t>
  </si>
  <si>
    <t>Completar Día 21</t>
  </si>
  <si>
    <t>Al completar</t>
  </si>
  <si>
    <t>Push / in-app</t>
  </si>
  <si>
    <t>Tus 7 días Platinum están listos para comenzar.</t>
  </si>
  <si>
    <t>Reto completado</t>
  </si>
  <si>
    <t>Trigger ideal; manual si no existe</t>
  </si>
  <si>
    <t>STACK DE HERRAMIENTAS · COSTO INCREMENTAL $0</t>
  </si>
  <si>
    <t>No contratar nuevas plataformas. Usar lo que ya existe o planes gratuitos.</t>
  </si>
  <si>
    <t>Necesidad</t>
  </si>
  <si>
    <t>Herramienta principal</t>
  </si>
  <si>
    <t>Costo incremental</t>
  </si>
  <si>
    <t>Uso exacto</t>
  </si>
  <si>
    <t>Límite / condición</t>
  </si>
  <si>
    <t>Alternativa</t>
  </si>
  <si>
    <t>Qué NO hacer</t>
  </si>
  <si>
    <t>Fuente oficial</t>
  </si>
  <si>
    <t>Programar redes</t>
  </si>
  <si>
    <t>Programar Feed, stories y revisar comentarios</t>
  </si>
  <si>
    <t>Requiere acceso a las cuentas</t>
  </si>
  <si>
    <t>Publicación manual</t>
  </si>
  <si>
    <t>No pagar otro scheduler</t>
  </si>
  <si>
    <t>https://www.facebook.com/help/389849807718635</t>
  </si>
  <si>
    <t>Activo</t>
  </si>
  <si>
    <t>Usar calendario del Excel</t>
  </si>
  <si>
    <t>Canva Premium ya disponible</t>
  </si>
  <si>
    <t>$0 incremental</t>
  </si>
  <si>
    <t>Artes, portada FB, emails, insignias y diplomas</t>
  </si>
  <si>
    <t>Usar Brand Kit y plantillas maestras</t>
  </si>
  <si>
    <t>Canva Free si fuera necesario</t>
  </si>
  <si>
    <t>No comprar plantillas externas</t>
  </si>
  <si>
    <t>https://www.canva.com/</t>
  </si>
  <si>
    <t>Bloquear logo, paleta y tipografías</t>
  </si>
  <si>
    <t>Email marketing</t>
  </si>
  <si>
    <t>Campañas manuales, listas y métricas</t>
  </si>
  <si>
    <t>300 envíos diarios; no acumula envíos</t>
  </si>
  <si>
    <t>Gmail individual para contingencia pequeña</t>
  </si>
  <si>
    <t>No contratar plan; no enviar datos sensibles</t>
  </si>
  <si>
    <t>https://help.brevo.com/hc/es/articles/208580669-FAQ-Cu%C3%A1les-son-los-l%C3%ADmites-del-plan-Gratis</t>
  </si>
  <si>
    <t>Por configurar</t>
  </si>
  <si>
    <t>Si supera 300, dividir por segmentos/días</t>
  </si>
  <si>
    <t>Push móvil</t>
  </si>
  <si>
    <t>OneSignal Free</t>
  </si>
  <si>
    <t>Push de La Forja, Día 1, hitos y pendientes</t>
  </si>
  <si>
    <t>Push móvil ilimitado en plan Free; automatización básica</t>
  </si>
  <si>
    <t>Push manual desde app/admin</t>
  </si>
  <si>
    <t>No comprar Growth</t>
  </si>
  <si>
    <t>https://onesignal.com/pricing</t>
  </si>
  <si>
    <t>Usar segmentación solo si ya existe</t>
  </si>
  <si>
    <t>Control y métricas</t>
  </si>
  <si>
    <t>Centro de control, inscritos, KPIs, folios</t>
  </si>
  <si>
    <t>Cuenta Google y almacenamiento disponible</t>
  </si>
  <si>
    <t>Excel local</t>
  </si>
  <si>
    <t>No comprar CRM</t>
  </si>
  <si>
    <t>https://support.google.com/docs/answer/6000292</t>
  </si>
  <si>
    <t>Este archivo puede importarse a Sheets</t>
  </si>
  <si>
    <t>Archivos y consentimientos</t>
  </si>
  <si>
    <t>Google Drive + Forms</t>
  </si>
  <si>
    <t>Formulario de testimonio, autorización y archivo</t>
  </si>
  <si>
    <t>15 GB compartidos en cuenta Google</t>
  </si>
  <si>
    <t>Formulario dentro de la app</t>
  </si>
  <si>
    <t>No usar formularios pagos</t>
  </si>
  <si>
    <t>https://support.google.com/drive/answer/2375123</t>
  </si>
  <si>
    <t>Separar consentimiento promocional</t>
  </si>
  <si>
    <t>Landing</t>
  </si>
  <si>
    <t>Antigravity + hosting existente</t>
  </si>
  <si>
    <t>Correcciones, estados, analítica y enlaces</t>
  </si>
  <si>
    <t>Usar infraestructura actual</t>
  </si>
  <si>
    <t>WordPress actual</t>
  </si>
  <si>
    <t>No contratar constructor nuevo</t>
  </si>
  <si>
    <t>Cambios solo con respaldo</t>
  </si>
  <si>
    <t>Video</t>
  </si>
  <si>
    <t>Video aprobado + editor gratuito existente</t>
  </si>
  <si>
    <t>Reutilizar video actual</t>
  </si>
  <si>
    <t>No producir otro video antes del 10</t>
  </si>
  <si>
    <t>CapCut Free si ya lo usan</t>
  </si>
  <si>
    <t>No comprar licencias nuevas</t>
  </si>
  <si>
    <t>Solo reutilización orgánica si conviene</t>
  </si>
  <si>
    <t>REGLA DE PROTECCIÓN DE CAJA: si una herramienta muestra upgrade, prueba de pago o solicita tarjeta para desbloquear una función, no continuar. La campaña se ejecutará con envíos manuales y reutilización de activos antes que asumir otro costo.</t>
  </si>
  <si>
    <t>TABLERO DE MÉTRICAS</t>
  </si>
  <si>
    <t>Ingresar datos reales. Los porcentajes y costos se calculan automáticamente.</t>
  </si>
  <si>
    <t>EMBUDO DE ADQUISICIÓN</t>
  </si>
  <si>
    <t>ACTIVACIÓN Y RETENCIÓN</t>
  </si>
  <si>
    <t>Métrica</t>
  </si>
  <si>
    <t>Valor real</t>
  </si>
  <si>
    <t>Fórmula / lectura</t>
  </si>
  <si>
    <t>Tasa</t>
  </si>
  <si>
    <t>Lectura</t>
  </si>
  <si>
    <t>Gasto Meta (MXN)</t>
  </si>
  <si>
    <t>Dato Ads Manager</t>
  </si>
  <si>
    <t>≤ 640 total</t>
  </si>
  <si>
    <t>Inscripciones confirmadas</t>
  </si>
  <si>
    <t>Base de cohorte</t>
  </si>
  <si>
    <t>Impresiones</t>
  </si>
  <si>
    <t>Misión 1 completada</t>
  </si>
  <si>
    <t>Clics enlace</t>
  </si>
  <si>
    <t>Activos Día 7</t>
  </si>
  <si>
    <t>Retención temprana</t>
  </si>
  <si>
    <t>Landing views</t>
  </si>
  <si>
    <t>Dato Pixel / analytics</t>
  </si>
  <si>
    <t>Activos Día 14</t>
  </si>
  <si>
    <t>Retención media</t>
  </si>
  <si>
    <t>Dato V&amp;V</t>
  </si>
  <si>
    <t>Métrica principal</t>
  </si>
  <si>
    <t>Día 21 completado</t>
  </si>
  <si>
    <t>CTR</t>
  </si>
  <si>
    <t>Clics ÷ impresiones</t>
  </si>
  <si>
    <t>&gt; 1% orientativo</t>
  </si>
  <si>
    <t>Exploran Platinum</t>
  </si>
  <si>
    <t>Interés comercial</t>
  </si>
  <si>
    <t>Tasa landing</t>
  </si>
  <si>
    <t>Landing views ÷ clics</t>
  </si>
  <si>
    <t>Maximizar</t>
  </si>
  <si>
    <t>Pasan a pago</t>
  </si>
  <si>
    <t>Conversión</t>
  </si>
  <si>
    <t>Conversión a inscripción</t>
  </si>
  <si>
    <t>Inscripciones ÷ landing views</t>
  </si>
  <si>
    <t>Testimonios recibidos</t>
  </si>
  <si>
    <t>Aprendizaje / prueba social</t>
  </si>
  <si>
    <t>COSTOS REALES</t>
  </si>
  <si>
    <t>Resultado</t>
  </si>
  <si>
    <t>Cálculo</t>
  </si>
  <si>
    <t>Interpretación</t>
  </si>
  <si>
    <t>Costo por clic</t>
  </si>
  <si>
    <t>Gasto ÷ clics</t>
  </si>
  <si>
    <t>No es la métrica final</t>
  </si>
  <si>
    <t>Costo por landing view</t>
  </si>
  <si>
    <t>Gasto ÷ landing views</t>
  </si>
  <si>
    <t>Calidad de tráfico</t>
  </si>
  <si>
    <t>Costo por inscripción</t>
  </si>
  <si>
    <t>Gasto ÷ inscritos</t>
  </si>
  <si>
    <t>Métrica financiera central</t>
  </si>
  <si>
    <t>CERTIFICADOS, INSIGNIAS Y FOLIOS</t>
  </si>
  <si>
    <t>Preparar con anticipación. No emitir QR ni títulos que no correspondan a las Bases.</t>
  </si>
  <si>
    <t>Elemento</t>
  </si>
  <si>
    <t>Quién lo recibe</t>
  </si>
  <si>
    <t>Formato</t>
  </si>
  <si>
    <t>Texto central</t>
  </si>
  <si>
    <t>Folio</t>
  </si>
  <si>
    <t>Fecha de diseño</t>
  </si>
  <si>
    <t>Fecha de emisión</t>
  </si>
  <si>
    <t>Fuente de nombres</t>
  </si>
  <si>
    <t>Consentimiento</t>
  </si>
  <si>
    <t>Entrega</t>
  </si>
  <si>
    <t>Atletas que completan Día 21</t>
  </si>
  <si>
    <t>PNG 1080×1080</t>
  </si>
  <si>
    <t>RETO VIGOR 21 · PRIMERA GENERACIÓN COMPLETADA · 21 DÍAS</t>
  </si>
  <si>
    <t>No obligatorio</t>
  </si>
  <si>
    <t>26–28 ago</t>
  </si>
  <si>
    <t>Al completar / 30–31 ago</t>
  </si>
  <si>
    <t>Listado V&amp;V</t>
  </si>
  <si>
    <t>No requiere publicación</t>
  </si>
  <si>
    <t>Email / app / comunidad</t>
  </si>
  <si>
    <t>Primer lugar</t>
  </si>
  <si>
    <t>V21-T1-2026-001</t>
  </si>
  <si>
    <t>26 ago</t>
  </si>
  <si>
    <t>Hasta 06 sep</t>
  </si>
  <si>
    <t>Nombre legal confirmado</t>
  </si>
  <si>
    <t>Autorización si se publica</t>
  </si>
  <si>
    <t>Email + archivo + anuncio</t>
  </si>
  <si>
    <t>Segundo lugar</t>
  </si>
  <si>
    <t>V21-T1-2026-002</t>
  </si>
  <si>
    <t>CHECKLIST DE EMISIÓN</t>
  </si>
  <si>
    <t>Paso</t>
  </si>
  <si>
    <t>Evidencia</t>
  </si>
  <si>
    <t>Confirmar nombre completo y acentos</t>
  </si>
  <si>
    <t>FUENTES Y REFERENCIAS OPERATIVAS</t>
  </si>
  <si>
    <t>Validar reconocimiento con Gerardo</t>
  </si>
  <si>
    <t>Enlaces oficiales consultados para verificar las opciones gratuitas y la programación.</t>
  </si>
  <si>
    <t>Asignar folio sin duplicados</t>
  </si>
  <si>
    <t>Exportar PDF y PNG</t>
  </si>
  <si>
    <t>Tema</t>
  </si>
  <si>
    <t>Fuente</t>
  </si>
  <si>
    <t>URL</t>
  </si>
  <si>
    <t>Dato usado</t>
  </si>
  <si>
    <t>Fecha de consulta</t>
  </si>
  <si>
    <t>Nota</t>
  </si>
  <si>
    <t>Revisar firma, fecha y copy</t>
  </si>
  <si>
    <t>Programación de posts</t>
  </si>
  <si>
    <t>Meta Help Center</t>
  </si>
  <si>
    <t>Meta Business Suite permite programar publicaciones de Página.</t>
  </si>
  <si>
    <t>01-ago-2026</t>
  </si>
  <si>
    <t>Herramienta gratuita de Meta.</t>
  </si>
  <si>
    <t>Registrar envío y confirmación</t>
  </si>
  <si>
    <t>Brevo Help</t>
  </si>
  <si>
    <t>Plan gratuito: 300 envíos de email por día.</t>
  </si>
  <si>
    <t>Si se supera, dividir envíos; no comprar plan.</t>
  </si>
  <si>
    <t>OneSignal Pricing</t>
  </si>
  <si>
    <t>Plan Free: push móvil ilimitado y automatización básica.</t>
  </si>
  <si>
    <t>Usar solo funciones ya configuradas.</t>
  </si>
  <si>
    <t>Google Docs Editors Help</t>
  </si>
  <si>
    <t>Hoja online para control colaborativo.</t>
  </si>
  <si>
    <t>Este Excel puede importarse.</t>
  </si>
  <si>
    <t>Google Drive</t>
  </si>
  <si>
    <t>Google Drive Help</t>
  </si>
  <si>
    <t>Cuenta Google incluye almacenamiento gratuito hasta 15 GB.</t>
  </si>
  <si>
    <t>Usar para archivos y formularios.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</si>
</sst>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-mmm-yyyy"/>
    <numFmt numFmtId="165" formatCode="dd-mmm"/>
    <numFmt numFmtId="166" formatCode="0.0%"/>
    <numFmt numFmtId="167" formatCode="$#,##0.00"/>
  </numFmts>
  <fonts count="12">
    <font>
      <sz val="11.0"/>
      <color rgb="FF000000"/>
      <name val="Carlito"/>
      <scheme val="minor"/>
    </font>
    <font>
      <b/>
      <sz val="18.0"/>
      <color rgb="FFE4C77F"/>
      <name val="Calibri"/>
    </font>
    <font>
      <sz val="11.0"/>
      <color theme="1"/>
      <name val="Calibri"/>
    </font>
    <font>
      <sz val="10.0"/>
      <color rgb="FFF7F4EC"/>
      <name val="Calibri"/>
    </font>
    <font>
      <b/>
      <sz val="12.0"/>
      <color rgb="FFF7F4EC"/>
      <name val="Calibri"/>
    </font>
    <font>
      <b/>
      <sz val="10.0"/>
      <color rgb="FF0E0F0F"/>
      <name val="Calibri"/>
    </font>
    <font>
      <b/>
      <sz val="9.0"/>
      <color rgb="FF0E0F0F"/>
      <name val="Calibri"/>
    </font>
    <font>
      <sz val="10.0"/>
      <color rgb="FF1D1F1E"/>
      <name val="Calibri"/>
    </font>
    <font>
      <b/>
      <sz val="9.0"/>
      <color rgb="FFF7F4EC"/>
      <name val="Calibri"/>
    </font>
    <font>
      <sz val="9.0"/>
      <color rgb="FF1D1F1E"/>
      <name val="Calibri"/>
    </font>
    <font>
      <b/>
      <sz val="9.0"/>
      <color rgb="FF1D1F1E"/>
      <name val="Calibri"/>
    </font>
    <font>
      <i/>
      <sz val="9.0"/>
      <color rgb="FF1D1F1E"/>
      <name val="Calibri"/>
    </font>
  </fonts>
  <fills count="19">
    <fill>
      <patternFill patternType="none"/>
    </fill>
    <fill>
      <patternFill patternType="lightGray"/>
    </fill>
    <fill>
      <patternFill patternType="solid">
        <fgColor rgb="FF0E0F0F"/>
        <bgColor rgb="FF0E0F0F"/>
      </patternFill>
    </fill>
    <fill>
      <patternFill patternType="solid">
        <fgColor rgb="FF141414"/>
        <bgColor rgb="FF141414"/>
      </patternFill>
    </fill>
    <fill>
      <patternFill patternType="solid">
        <fgColor rgb="FF1D1F1E"/>
        <bgColor rgb="FF1D1F1E"/>
      </patternFill>
    </fill>
    <fill>
      <patternFill patternType="solid">
        <fgColor rgb="FFC6A15B"/>
        <bgColor rgb="FFC6A15B"/>
      </patternFill>
    </fill>
    <fill>
      <patternFill patternType="solid">
        <fgColor rgb="FF5D7A8C"/>
        <bgColor rgb="FF5D7A8C"/>
      </patternFill>
    </fill>
    <fill>
      <patternFill patternType="solid">
        <fgColor rgb="FF6F8F6B"/>
        <bgColor rgb="FF6F8F6B"/>
      </patternFill>
    </fill>
    <fill>
      <patternFill patternType="solid">
        <fgColor rgb="FFC86B63"/>
        <bgColor rgb="FFC86B63"/>
      </patternFill>
    </fill>
    <fill>
      <patternFill patternType="solid">
        <fgColor rgb="FFB8B3A8"/>
        <bgColor rgb="FFB8B3A8"/>
      </patternFill>
    </fill>
    <fill>
      <patternFill patternType="solid">
        <fgColor rgb="FFF7F4EC"/>
        <bgColor rgb="FFF7F4EC"/>
      </patternFill>
    </fill>
    <fill>
      <patternFill patternType="solid">
        <fgColor rgb="FFE4C77F"/>
        <bgColor rgb="FFE4C77F"/>
      </patternFill>
    </fill>
    <fill>
      <patternFill patternType="solid">
        <fgColor rgb="FFD9C6A3"/>
        <bgColor rgb="FFD9C6A3"/>
      </patternFill>
    </fill>
    <fill>
      <patternFill patternType="solid">
        <fgColor rgb="FFE9E7E2"/>
        <bgColor rgb="FFE9E7E2"/>
      </patternFill>
    </fill>
    <fill>
      <patternFill patternType="solid">
        <fgColor rgb="FFF3E4BD"/>
        <bgColor rgb="FFF3E4BD"/>
      </patternFill>
    </fill>
    <fill>
      <patternFill patternType="solid">
        <fgColor rgb="FFD9E5EE"/>
        <bgColor rgb="FFD9E5EE"/>
      </patternFill>
    </fill>
    <fill>
      <patternFill patternType="solid">
        <fgColor rgb="FFDDE8DB"/>
        <bgColor rgb="FFDDE8DB"/>
      </patternFill>
    </fill>
    <fill>
      <patternFill patternType="solid">
        <fgColor rgb="FFF1D7D2"/>
        <bgColor rgb="FFF1D7D2"/>
      </patternFill>
    </fill>
    <fill>
      <patternFill patternType="solid">
        <fgColor rgb="FFEFE8DB"/>
        <bgColor rgb="FFEFE8DB"/>
      </patternFill>
    </fill>
  </fills>
  <borders count="1">
    <border/>
  </borders>
  <cellStyleXfs count="1">
    <xf borderId="0" fillId="0" fontId="0" numFmtId="0" applyAlignment="1" applyFont="1"/>
  </cellStyleXfs>
  <cellXfs count="2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0" fontId="2" numFmtId="0" xfId="0" applyFont="1"/>
    <xf borderId="0" fillId="3" fontId="3" numFmtId="0" xfId="0" applyAlignment="1" applyFill="1" applyFont="1">
      <alignment horizontal="left" shrinkToFit="0" vertical="center" wrapText="1"/>
    </xf>
    <xf borderId="0" fillId="4" fontId="4" numFmtId="0" xfId="0" applyAlignment="1" applyFill="1" applyFont="1">
      <alignment horizontal="left" vertical="center"/>
    </xf>
    <xf borderId="0" fillId="5" fontId="5" numFmtId="0" xfId="0" applyAlignment="1" applyFill="1" applyFont="1">
      <alignment horizontal="center" shrinkToFit="0" vertical="center" wrapText="1"/>
    </xf>
    <xf borderId="0" fillId="5" fontId="6" numFmtId="0" xfId="0" applyAlignment="1" applyFont="1">
      <alignment horizontal="center" vertical="center"/>
    </xf>
    <xf borderId="0" fillId="6" fontId="6" numFmtId="0" xfId="0" applyAlignment="1" applyFill="1" applyFont="1">
      <alignment horizontal="center" vertical="center"/>
    </xf>
    <xf borderId="0" fillId="7" fontId="6" numFmtId="0" xfId="0" applyAlignment="1" applyFill="1" applyFont="1">
      <alignment horizontal="center" vertical="center"/>
    </xf>
    <xf borderId="0" fillId="8" fontId="6" numFmtId="0" xfId="0" applyAlignment="1" applyFill="1" applyFont="1">
      <alignment horizontal="center" vertical="center"/>
    </xf>
    <xf borderId="0" fillId="9" fontId="6" numFmtId="0" xfId="0" applyAlignment="1" applyFill="1" applyFont="1">
      <alignment horizontal="center" vertical="center"/>
    </xf>
    <xf borderId="0" fillId="10" fontId="7" numFmtId="0" xfId="0" applyAlignment="1" applyFill="1" applyFont="1">
      <alignment shrinkToFit="0" vertical="top" wrapText="1"/>
    </xf>
    <xf borderId="0" fillId="11" fontId="6" numFmtId="0" xfId="0" applyAlignment="1" applyFill="1" applyFont="1">
      <alignment horizontal="center" vertical="center"/>
    </xf>
    <xf borderId="0" fillId="4" fontId="8" numFmtId="0" xfId="0" applyAlignment="1" applyFont="1">
      <alignment horizontal="center" vertical="center"/>
    </xf>
    <xf borderId="0" fillId="10" fontId="7" numFmtId="164" xfId="0" applyAlignment="1" applyFont="1" applyNumberFormat="1">
      <alignment shrinkToFit="0" vertical="top" wrapText="1"/>
    </xf>
    <xf borderId="0" fillId="12" fontId="5" numFmtId="0" xfId="0" applyAlignment="1" applyFill="1" applyFont="1">
      <alignment horizontal="center" shrinkToFit="0" vertical="center" wrapText="1"/>
    </xf>
    <xf borderId="0" fillId="10" fontId="7" numFmtId="0" xfId="0" applyAlignment="1" applyFont="1">
      <alignment readingOrder="0" shrinkToFit="0" vertical="top" wrapText="1"/>
    </xf>
    <xf borderId="0" fillId="13" fontId="2" numFmtId="0" xfId="0" applyFill="1" applyFont="1"/>
    <xf borderId="0" fillId="14" fontId="9" numFmtId="0" xfId="0" applyAlignment="1" applyFill="1" applyFont="1">
      <alignment horizontal="left" shrinkToFit="0" vertical="top" wrapText="1"/>
    </xf>
    <xf borderId="0" fillId="14" fontId="10" numFmtId="0" xfId="0" applyAlignment="1" applyFont="1">
      <alignment horizontal="left" shrinkToFit="0" vertical="top" wrapText="1"/>
    </xf>
    <xf borderId="0" fillId="15" fontId="10" numFmtId="0" xfId="0" applyAlignment="1" applyFill="1" applyFont="1">
      <alignment horizontal="left" shrinkToFit="0" vertical="top" wrapText="1"/>
    </xf>
    <xf borderId="0" fillId="16" fontId="9" numFmtId="0" xfId="0" applyAlignment="1" applyFill="1" applyFont="1">
      <alignment horizontal="left" shrinkToFit="0" vertical="top" wrapText="1"/>
    </xf>
    <xf borderId="0" fillId="16" fontId="10" numFmtId="0" xfId="0" applyAlignment="1" applyFont="1">
      <alignment horizontal="left" shrinkToFit="0" vertical="top" wrapText="1"/>
    </xf>
    <xf borderId="0" fillId="10" fontId="7" numFmtId="165" xfId="0" applyAlignment="1" applyFont="1" applyNumberFormat="1">
      <alignment shrinkToFit="0" vertical="top" wrapText="1"/>
    </xf>
    <xf borderId="0" fillId="17" fontId="9" numFmtId="0" xfId="0" applyAlignment="1" applyFill="1" applyFont="1">
      <alignment horizontal="left" shrinkToFit="0" vertical="top" wrapText="1"/>
    </xf>
    <xf borderId="0" fillId="18" fontId="11" numFmtId="0" xfId="0" applyAlignment="1" applyFill="1" applyFont="1">
      <alignment shrinkToFit="0" vertical="top" wrapText="1"/>
    </xf>
    <xf borderId="0" fillId="17" fontId="10" numFmtId="0" xfId="0" applyAlignment="1" applyFont="1">
      <alignment horizontal="left" shrinkToFit="0" vertical="top" wrapText="1"/>
    </xf>
    <xf borderId="0" fillId="10" fontId="7" numFmtId="166" xfId="0" applyAlignment="1" applyFont="1" applyNumberFormat="1">
      <alignment shrinkToFit="0" vertical="top" wrapText="1"/>
    </xf>
    <xf borderId="0" fillId="10" fontId="7" numFmtId="167" xfId="0" applyAlignment="1" applyFont="1" applyNumberFormat="1">
      <alignment shrinkToFit="0" vertical="top" wrapText="1"/>
    </xf>
  </cellXfs>
  <cellStyles count="1">
    <cellStyle xfId="0" name="Normal" builtinId="0"/>
  </cellStyles>
  <dxfs count="3">
    <dxf>
      <font>
        <color rgb="FF27482A"/>
      </font>
      <fill>
        <patternFill patternType="solid">
          <fgColor rgb="FFDDE8DB"/>
          <bgColor rgb="FFDDE8DB"/>
        </patternFill>
      </fill>
      <border/>
    </dxf>
    <dxf>
      <font>
        <color rgb="FF25435B"/>
      </font>
      <fill>
        <patternFill patternType="solid">
          <fgColor rgb="FFD9E5EE"/>
          <bgColor rgb="FFD9E5EE"/>
        </patternFill>
      </fill>
      <border/>
    </dxf>
    <dxf>
      <font>
        <color rgb="FF7A2D27"/>
      </font>
      <fill>
        <patternFill patternType="solid">
          <fgColor rgb="FFF1D7D2"/>
          <bgColor rgb="FFF1D7D2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customschemas.google.com/relationships/workbookmetadata" Target="metadata"/><Relationship Id="rId14" Type="http://schemas.openxmlformats.org/officeDocument/2006/relationships/worksheet" Target="worksheets/sheet1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Embudo de participación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Series 1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'08_KPIS'!$F$6:$F$10</c:f>
            </c:strRef>
          </c:cat>
          <c:val>
            <c:numRef>
              <c:f>'08_KPIS'!$G$6:$G$10</c:f>
              <c:numCache/>
            </c:numRef>
          </c:val>
        </c:ser>
        <c:axId val="1635610949"/>
        <c:axId val="144503404"/>
      </c:barChart>
      <c:catAx>
        <c:axId val="16356109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4503404"/>
      </c:catAx>
      <c:valAx>
        <c:axId val="1445034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35610949"/>
      </c:valAx>
    </c:plotArea>
    <c:plotVisOnly val="1"/>
  </c:chart>
</c:chartSpace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0</xdr:colOff>
      <xdr:row>15</xdr:row>
      <xdr:rowOff>0</xdr:rowOff>
    </xdr:from>
    <xdr:ext cx="6934200" cy="3200400"/>
    <xdr:graphicFrame>
      <xdr:nvGraphicFramePr>
        <xdr:cNvPr id="119140573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22.0"/>
    <col customWidth="1" min="3" max="3" width="33.0"/>
    <col customWidth="1" min="4" max="4" width="18.0"/>
    <col customWidth="1" min="5" max="5" width="20.0"/>
    <col customWidth="1" min="6" max="7" width="16.0"/>
    <col customWidth="1" min="8" max="8" width="22.0"/>
    <col customWidth="1" min="9" max="9" width="18.0"/>
    <col customWidth="1" min="10" max="10" width="20.0"/>
    <col customWidth="1" min="11" max="11" width="18.0"/>
    <col customWidth="1" min="12" max="12" width="16.0"/>
    <col customWidth="1" min="13" max="26" width="8.63"/>
  </cols>
  <sheetData>
    <row r="1" ht="30.0" customHeight="1">
      <c r="A1" s="1" t="s">
        <v>0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4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4" t="s">
        <v>8</v>
      </c>
      <c r="D4" s="2"/>
      <c r="E4" s="4" t="s">
        <v>9</v>
      </c>
      <c r="I4" s="2"/>
      <c r="J4" s="4" t="s">
        <v>10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5" t="s">
        <v>11</v>
      </c>
      <c r="B5" s="5" t="s">
        <v>12</v>
      </c>
      <c r="C5" s="5" t="s">
        <v>13</v>
      </c>
      <c r="D5" s="2"/>
      <c r="E5" s="5" t="s">
        <v>14</v>
      </c>
      <c r="F5" s="5" t="s">
        <v>15</v>
      </c>
      <c r="G5" s="5" t="s">
        <v>17</v>
      </c>
      <c r="H5" s="5" t="s">
        <v>18</v>
      </c>
      <c r="I5" s="2"/>
      <c r="J5" s="5" t="s">
        <v>19</v>
      </c>
      <c r="K5" s="5" t="s">
        <v>21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1" t="s">
        <v>25</v>
      </c>
      <c r="B6" s="11" t="s">
        <v>32</v>
      </c>
      <c r="C6" s="11" t="s">
        <v>34</v>
      </c>
      <c r="D6" s="2"/>
      <c r="E6" s="11" t="s">
        <v>36</v>
      </c>
      <c r="F6" s="14">
        <v>46235.0</v>
      </c>
      <c r="G6" s="11" t="s">
        <v>40</v>
      </c>
      <c r="H6" s="11" t="s">
        <v>42</v>
      </c>
      <c r="I6" s="2"/>
      <c r="J6" s="11" t="s">
        <v>44</v>
      </c>
      <c r="K6" s="11">
        <f>COUNTIF('03_ARTES'!$F$6:$F$30,"Sí")</f>
        <v>12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1" t="s">
        <v>54</v>
      </c>
      <c r="B7" s="11" t="s">
        <v>57</v>
      </c>
      <c r="C7" s="11" t="s">
        <v>59</v>
      </c>
      <c r="D7" s="2"/>
      <c r="E7" s="11" t="s">
        <v>60</v>
      </c>
      <c r="F7" s="14">
        <v>46243.99930555555</v>
      </c>
      <c r="G7" s="11" t="s">
        <v>61</v>
      </c>
      <c r="H7" s="11" t="s">
        <v>63</v>
      </c>
      <c r="I7" s="2"/>
      <c r="J7" s="11" t="s">
        <v>65</v>
      </c>
      <c r="K7" s="11">
        <f>COUNTA('04_EMAILS'!$A$5:$A$16)</f>
        <v>12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1" t="s">
        <v>80</v>
      </c>
      <c r="B8" s="11" t="s">
        <v>82</v>
      </c>
      <c r="C8" s="11" t="s">
        <v>83</v>
      </c>
      <c r="D8" s="2"/>
      <c r="E8" s="11" t="s">
        <v>85</v>
      </c>
      <c r="F8" s="14">
        <v>46244.0</v>
      </c>
      <c r="G8" s="11" t="s">
        <v>61</v>
      </c>
      <c r="H8" s="11" t="s">
        <v>89</v>
      </c>
      <c r="I8" s="2"/>
      <c r="J8" s="11" t="s">
        <v>92</v>
      </c>
      <c r="K8" s="11">
        <f>COUNTIF('05_REDES_Y_BANNERS'!$D$6:$D$40,"Feed")</f>
        <v>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1" t="s">
        <v>109</v>
      </c>
      <c r="B9" s="11" t="s">
        <v>111</v>
      </c>
      <c r="C9" s="11" t="s">
        <v>112</v>
      </c>
      <c r="D9" s="2"/>
      <c r="E9" s="11" t="s">
        <v>114</v>
      </c>
      <c r="F9" s="14">
        <v>46250.0</v>
      </c>
      <c r="G9" s="11" t="s">
        <v>61</v>
      </c>
      <c r="H9" s="11" t="s">
        <v>117</v>
      </c>
      <c r="I9" s="2"/>
      <c r="J9" s="11" t="s">
        <v>119</v>
      </c>
      <c r="K9" s="11">
        <f>COUNTIF('05_REDES_Y_BANNERS'!$D$6:$D$40,"Story")</f>
        <v>8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1" t="s">
        <v>135</v>
      </c>
      <c r="B10" s="11" t="s">
        <v>138</v>
      </c>
      <c r="C10" s="11" t="s">
        <v>139</v>
      </c>
      <c r="D10" s="2"/>
      <c r="E10" s="11" t="s">
        <v>141</v>
      </c>
      <c r="F10" s="14">
        <v>46257.0</v>
      </c>
      <c r="G10" s="11" t="s">
        <v>61</v>
      </c>
      <c r="H10" s="11" t="s">
        <v>143</v>
      </c>
      <c r="I10" s="2"/>
      <c r="J10" s="11" t="s">
        <v>144</v>
      </c>
      <c r="K10" s="11">
        <v>3.0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"/>
      <c r="B11" s="2"/>
      <c r="C11" s="2"/>
      <c r="D11" s="2"/>
      <c r="E11" s="2" t="s">
        <v>152</v>
      </c>
      <c r="F11" s="2">
        <v>46264.0</v>
      </c>
      <c r="G11" s="2" t="s">
        <v>61</v>
      </c>
      <c r="H11" s="2" t="s">
        <v>154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4" t="s">
        <v>165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5" t="s">
        <v>15</v>
      </c>
      <c r="B13" s="5" t="s">
        <v>175</v>
      </c>
      <c r="C13" s="5" t="s">
        <v>178</v>
      </c>
      <c r="D13" s="5" t="s">
        <v>180</v>
      </c>
      <c r="E13" s="5" t="s">
        <v>51</v>
      </c>
      <c r="F13" s="5" t="s">
        <v>189</v>
      </c>
      <c r="G13" s="5" t="s">
        <v>192</v>
      </c>
      <c r="H13" s="5" t="s">
        <v>195</v>
      </c>
      <c r="I13" s="5" t="s">
        <v>45</v>
      </c>
      <c r="J13" s="5" t="s">
        <v>196</v>
      </c>
      <c r="K13" s="5" t="s">
        <v>198</v>
      </c>
      <c r="L13" s="5" t="s">
        <v>17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3">
        <v>46236.0</v>
      </c>
      <c r="B14" s="11" t="s">
        <v>211</v>
      </c>
      <c r="C14" s="11" t="s">
        <v>213</v>
      </c>
      <c r="D14" s="11" t="s">
        <v>148</v>
      </c>
      <c r="E14" s="11" t="s">
        <v>216</v>
      </c>
      <c r="F14" s="11" t="s">
        <v>98</v>
      </c>
      <c r="G14" s="11" t="s">
        <v>98</v>
      </c>
      <c r="H14" s="11" t="s">
        <v>98</v>
      </c>
      <c r="I14" s="11" t="s">
        <v>157</v>
      </c>
      <c r="J14" s="11" t="s">
        <v>159</v>
      </c>
      <c r="K14" s="11" t="s">
        <v>225</v>
      </c>
      <c r="L14" s="11" t="s">
        <v>162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3">
        <v>46237.0</v>
      </c>
      <c r="B15" s="11" t="s">
        <v>130</v>
      </c>
      <c r="C15" s="11" t="s">
        <v>234</v>
      </c>
      <c r="D15" s="11" t="s">
        <v>237</v>
      </c>
      <c r="E15" s="11" t="s">
        <v>238</v>
      </c>
      <c r="F15" s="11" t="s">
        <v>66</v>
      </c>
      <c r="G15" s="11" t="s">
        <v>239</v>
      </c>
      <c r="H15" s="11" t="s">
        <v>98</v>
      </c>
      <c r="I15" s="11" t="s">
        <v>75</v>
      </c>
      <c r="J15" s="11" t="s">
        <v>240</v>
      </c>
      <c r="K15" s="11" t="s">
        <v>225</v>
      </c>
      <c r="L15" s="11" t="s">
        <v>162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3">
        <v>46241.0</v>
      </c>
      <c r="B16" s="11" t="s">
        <v>200</v>
      </c>
      <c r="C16" s="11" t="s">
        <v>244</v>
      </c>
      <c r="D16" s="11" t="s">
        <v>247</v>
      </c>
      <c r="E16" s="11" t="s">
        <v>250</v>
      </c>
      <c r="F16" s="11" t="s">
        <v>66</v>
      </c>
      <c r="G16" s="11" t="s">
        <v>66</v>
      </c>
      <c r="H16" s="11" t="s">
        <v>66</v>
      </c>
      <c r="I16" s="11" t="s">
        <v>254</v>
      </c>
      <c r="J16" s="11" t="s">
        <v>255</v>
      </c>
      <c r="K16" s="11" t="s">
        <v>225</v>
      </c>
      <c r="L16" s="11" t="s">
        <v>162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3">
        <v>46243.0</v>
      </c>
      <c r="B17" s="11" t="s">
        <v>228</v>
      </c>
      <c r="C17" s="11" t="s">
        <v>260</v>
      </c>
      <c r="D17" s="11" t="s">
        <v>261</v>
      </c>
      <c r="E17" s="11" t="s">
        <v>262</v>
      </c>
      <c r="F17" s="11" t="s">
        <v>66</v>
      </c>
      <c r="G17" s="11" t="s">
        <v>66</v>
      </c>
      <c r="H17" s="11" t="s">
        <v>66</v>
      </c>
      <c r="I17" s="11" t="s">
        <v>75</v>
      </c>
      <c r="J17" s="11" t="s">
        <v>263</v>
      </c>
      <c r="K17" s="11" t="s">
        <v>225</v>
      </c>
      <c r="L17" s="11" t="s">
        <v>162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3">
        <v>46244.0</v>
      </c>
      <c r="B18" s="11" t="s">
        <v>246</v>
      </c>
      <c r="C18" s="11" t="s">
        <v>276</v>
      </c>
      <c r="D18" s="11" t="s">
        <v>278</v>
      </c>
      <c r="E18" s="11" t="s">
        <v>201</v>
      </c>
      <c r="F18" s="11" t="s">
        <v>66</v>
      </c>
      <c r="G18" s="11" t="s">
        <v>66</v>
      </c>
      <c r="H18" s="11" t="s">
        <v>66</v>
      </c>
      <c r="I18" s="11" t="s">
        <v>157</v>
      </c>
      <c r="J18" s="11" t="s">
        <v>255</v>
      </c>
      <c r="K18" s="11" t="s">
        <v>225</v>
      </c>
      <c r="L18" s="11" t="s">
        <v>162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5" t="s">
        <v>294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L1"/>
    <mergeCell ref="A2:L2"/>
    <mergeCell ref="A4:C4"/>
    <mergeCell ref="E4:H4"/>
    <mergeCell ref="J4:L4"/>
    <mergeCell ref="A12:L12"/>
    <mergeCell ref="A20:L2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7" width="22.0"/>
    <col customWidth="1" min="8" max="26" width="8.63"/>
  </cols>
  <sheetData>
    <row r="1" ht="30.0" customHeight="1">
      <c r="A1" s="1" t="s">
        <v>1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5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6" t="s">
        <v>16</v>
      </c>
      <c r="B4" s="7" t="s">
        <v>20</v>
      </c>
      <c r="C4" s="8" t="s">
        <v>22</v>
      </c>
      <c r="D4" s="9" t="s">
        <v>23</v>
      </c>
      <c r="E4" s="10" t="s">
        <v>24</v>
      </c>
      <c r="F4" s="12" t="s">
        <v>26</v>
      </c>
      <c r="G4" s="13" t="s">
        <v>27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4" t="s">
        <v>53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5" t="s">
        <v>69</v>
      </c>
      <c r="B7" s="5" t="s">
        <v>71</v>
      </c>
      <c r="C7" s="5" t="s">
        <v>74</v>
      </c>
      <c r="D7" s="5" t="s">
        <v>76</v>
      </c>
      <c r="E7" s="5" t="s">
        <v>77</v>
      </c>
      <c r="F7" s="5" t="s">
        <v>78</v>
      </c>
      <c r="G7" s="5" t="s">
        <v>79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85.5" customHeight="1">
      <c r="A8" s="17"/>
      <c r="B8" s="17"/>
      <c r="C8" s="17"/>
      <c r="D8" s="17"/>
      <c r="E8" s="17"/>
      <c r="F8" s="18" t="s">
        <v>103</v>
      </c>
      <c r="G8" s="18" t="s">
        <v>107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85.5" customHeight="1">
      <c r="A9" s="18" t="s">
        <v>124</v>
      </c>
      <c r="B9" s="18" t="s">
        <v>127</v>
      </c>
      <c r="C9" s="18" t="s">
        <v>129</v>
      </c>
      <c r="D9" s="18" t="s">
        <v>132</v>
      </c>
      <c r="E9" s="18" t="s">
        <v>134</v>
      </c>
      <c r="F9" s="18" t="s">
        <v>137</v>
      </c>
      <c r="G9" s="19" t="s">
        <v>140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85.5" customHeight="1">
      <c r="A10" s="20" t="s">
        <v>156</v>
      </c>
      <c r="B10" s="21" t="s">
        <v>158</v>
      </c>
      <c r="C10" s="21" t="s">
        <v>160</v>
      </c>
      <c r="D10" s="21" t="s">
        <v>161</v>
      </c>
      <c r="E10" s="21" t="s">
        <v>163</v>
      </c>
      <c r="F10" s="21" t="s">
        <v>164</v>
      </c>
      <c r="G10" s="22" t="s">
        <v>166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85.5" customHeight="1">
      <c r="A11" s="21" t="s">
        <v>182</v>
      </c>
      <c r="B11" s="21" t="s">
        <v>183</v>
      </c>
      <c r="C11" s="21" t="s">
        <v>185</v>
      </c>
      <c r="D11" s="21" t="s">
        <v>187</v>
      </c>
      <c r="E11" s="21" t="s">
        <v>188</v>
      </c>
      <c r="F11" s="21" t="s">
        <v>190</v>
      </c>
      <c r="G11" s="22" t="s">
        <v>193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85.5" customHeight="1">
      <c r="A12" s="21" t="s">
        <v>208</v>
      </c>
      <c r="B12" s="21" t="s">
        <v>210</v>
      </c>
      <c r="C12" s="21" t="s">
        <v>212</v>
      </c>
      <c r="D12" s="21" t="s">
        <v>215</v>
      </c>
      <c r="E12" s="21" t="s">
        <v>218</v>
      </c>
      <c r="F12" s="21" t="s">
        <v>220</v>
      </c>
      <c r="G12" s="22" t="s">
        <v>222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85.5" customHeight="1">
      <c r="A13" s="24" t="s">
        <v>235</v>
      </c>
      <c r="B13" s="17"/>
      <c r="C13" s="17"/>
      <c r="D13" s="17"/>
      <c r="E13" s="17"/>
      <c r="F13" s="17"/>
      <c r="G13" s="17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4" t="s">
        <v>275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5" t="s">
        <v>69</v>
      </c>
      <c r="B17" s="5" t="s">
        <v>71</v>
      </c>
      <c r="C17" s="5" t="s">
        <v>74</v>
      </c>
      <c r="D17" s="5" t="s">
        <v>76</v>
      </c>
      <c r="E17" s="5" t="s">
        <v>77</v>
      </c>
      <c r="F17" s="5" t="s">
        <v>78</v>
      </c>
      <c r="G17" s="5" t="s">
        <v>79</v>
      </c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85.5" customHeight="1">
      <c r="A18" s="17"/>
      <c r="B18" s="24" t="s">
        <v>291</v>
      </c>
      <c r="C18" s="24" t="s">
        <v>292</v>
      </c>
      <c r="D18" s="24" t="s">
        <v>293</v>
      </c>
      <c r="E18" s="24" t="s">
        <v>295</v>
      </c>
      <c r="F18" s="24" t="s">
        <v>296</v>
      </c>
      <c r="G18" s="26" t="s">
        <v>297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G1"/>
    <mergeCell ref="A2:G2"/>
    <mergeCell ref="A6:G6"/>
    <mergeCell ref="A16:G16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5.0" topLeftCell="F1" activePane="topRight" state="frozen"/>
      <selection activeCell="G2" sqref="G2" pane="topRight"/>
    </sheetView>
  </sheetViews>
  <sheetFormatPr customHeight="1" defaultColWidth="12.63" defaultRowHeight="15.0"/>
  <cols>
    <col customWidth="1" min="1" max="1" width="13.0"/>
    <col customWidth="1" min="2" max="2" width="9.0"/>
    <col customWidth="1" min="3" max="3" width="16.0"/>
    <col customWidth="1" min="4" max="4" width="25.75"/>
    <col customWidth="1" min="5" max="5" width="36.0"/>
    <col customWidth="1" min="6" max="6" width="26.0"/>
    <col customWidth="1" min="7" max="7" width="30.0"/>
    <col customWidth="1" min="8" max="8" width="22.0"/>
    <col customWidth="1" min="9" max="9" width="24.0"/>
    <col customWidth="1" min="10" max="10" width="20.0"/>
    <col customWidth="1" min="11" max="11" width="11.0"/>
    <col customWidth="1" min="12" max="13" width="12.0"/>
    <col customWidth="1" min="14" max="14" width="29.13"/>
    <col customWidth="1" min="15" max="26" width="8.63"/>
  </cols>
  <sheetData>
    <row r="1" ht="30.0" customHeight="1">
      <c r="A1" s="1" t="s">
        <v>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7</v>
      </c>
      <c r="F2" s="3"/>
      <c r="G2" s="3"/>
      <c r="H2" s="3"/>
      <c r="I2" s="3"/>
      <c r="J2" s="3"/>
      <c r="K2" s="3"/>
      <c r="L2" s="3"/>
      <c r="M2" s="3"/>
      <c r="N2" s="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15</v>
      </c>
      <c r="B4" s="5" t="s">
        <v>46</v>
      </c>
      <c r="C4" s="5" t="s">
        <v>30</v>
      </c>
      <c r="D4" s="5" t="s">
        <v>47</v>
      </c>
      <c r="E4" s="5" t="s">
        <v>48</v>
      </c>
      <c r="F4" s="5" t="s">
        <v>50</v>
      </c>
      <c r="G4" s="5" t="s">
        <v>51</v>
      </c>
      <c r="H4" s="5" t="s">
        <v>52</v>
      </c>
      <c r="I4" s="5" t="s">
        <v>43</v>
      </c>
      <c r="J4" s="5" t="s">
        <v>45</v>
      </c>
      <c r="K4" s="5" t="s">
        <v>56</v>
      </c>
      <c r="L4" s="5" t="s">
        <v>58</v>
      </c>
      <c r="M4" s="5" t="s">
        <v>35</v>
      </c>
      <c r="N4" s="5" t="s">
        <v>17</v>
      </c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4">
        <v>46235.0</v>
      </c>
      <c r="B5" s="11" t="s">
        <v>81</v>
      </c>
      <c r="C5" s="11" t="s">
        <v>36</v>
      </c>
      <c r="D5" s="11" t="s">
        <v>84</v>
      </c>
      <c r="E5" s="11" t="s">
        <v>86</v>
      </c>
      <c r="F5" s="11" t="s">
        <v>88</v>
      </c>
      <c r="G5" s="11" t="s">
        <v>90</v>
      </c>
      <c r="H5" s="11" t="s">
        <v>91</v>
      </c>
      <c r="I5" s="11" t="s">
        <v>93</v>
      </c>
      <c r="J5" s="11" t="s">
        <v>94</v>
      </c>
      <c r="K5" s="11" t="s">
        <v>95</v>
      </c>
      <c r="L5" s="11" t="s">
        <v>96</v>
      </c>
      <c r="M5" s="11" t="s">
        <v>98</v>
      </c>
      <c r="N5" s="11" t="s">
        <v>100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4">
        <v>46235.0</v>
      </c>
      <c r="B6" s="11" t="s">
        <v>115</v>
      </c>
      <c r="C6" s="11" t="s">
        <v>116</v>
      </c>
      <c r="D6" s="11" t="s">
        <v>118</v>
      </c>
      <c r="E6" s="11" t="s">
        <v>120</v>
      </c>
      <c r="F6" s="11" t="s">
        <v>121</v>
      </c>
      <c r="G6" s="11" t="s">
        <v>122</v>
      </c>
      <c r="H6" s="11" t="s">
        <v>113</v>
      </c>
      <c r="I6" s="11" t="s">
        <v>123</v>
      </c>
      <c r="J6" s="11" t="s">
        <v>75</v>
      </c>
      <c r="K6" s="11" t="s">
        <v>95</v>
      </c>
      <c r="L6" s="11" t="s">
        <v>125</v>
      </c>
      <c r="M6" s="11" t="s">
        <v>98</v>
      </c>
      <c r="N6" s="11" t="s">
        <v>131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4">
        <v>46236.0</v>
      </c>
      <c r="B7" s="11" t="s">
        <v>146</v>
      </c>
      <c r="C7" s="11" t="s">
        <v>116</v>
      </c>
      <c r="D7" s="11" t="s">
        <v>148</v>
      </c>
      <c r="E7" s="11" t="s">
        <v>149</v>
      </c>
      <c r="F7" s="11" t="s">
        <v>151</v>
      </c>
      <c r="G7" s="11" t="s">
        <v>153</v>
      </c>
      <c r="H7" s="11" t="s">
        <v>113</v>
      </c>
      <c r="I7" s="11" t="s">
        <v>155</v>
      </c>
      <c r="J7" s="11" t="s">
        <v>157</v>
      </c>
      <c r="K7" s="11" t="s">
        <v>95</v>
      </c>
      <c r="L7" s="11" t="s">
        <v>159</v>
      </c>
      <c r="M7" s="11" t="s">
        <v>98</v>
      </c>
      <c r="N7" s="11" t="s">
        <v>162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4">
        <v>46236.0</v>
      </c>
      <c r="B8" s="11" t="s">
        <v>172</v>
      </c>
      <c r="C8" s="11" t="s">
        <v>36</v>
      </c>
      <c r="D8" s="11" t="s">
        <v>176</v>
      </c>
      <c r="E8" s="11" t="s">
        <v>179</v>
      </c>
      <c r="F8" s="11" t="s">
        <v>181</v>
      </c>
      <c r="G8" s="11" t="s">
        <v>62</v>
      </c>
      <c r="H8" s="11" t="s">
        <v>184</v>
      </c>
      <c r="I8" s="11" t="s">
        <v>186</v>
      </c>
      <c r="J8" s="11" t="s">
        <v>75</v>
      </c>
      <c r="K8" s="11" t="s">
        <v>191</v>
      </c>
      <c r="L8" s="11" t="s">
        <v>194</v>
      </c>
      <c r="M8" s="11" t="s">
        <v>66</v>
      </c>
      <c r="N8" s="16" t="s">
        <v>199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4">
        <v>46236.0</v>
      </c>
      <c r="B9" s="11" t="s">
        <v>209</v>
      </c>
      <c r="C9" s="11" t="s">
        <v>36</v>
      </c>
      <c r="D9" s="11" t="s">
        <v>214</v>
      </c>
      <c r="E9" s="11" t="s">
        <v>217</v>
      </c>
      <c r="F9" s="11" t="s">
        <v>219</v>
      </c>
      <c r="G9" s="11" t="s">
        <v>221</v>
      </c>
      <c r="H9" s="11" t="s">
        <v>223</v>
      </c>
      <c r="I9" s="11" t="s">
        <v>224</v>
      </c>
      <c r="J9" s="11" t="s">
        <v>75</v>
      </c>
      <c r="K9" s="11" t="s">
        <v>95</v>
      </c>
      <c r="L9" s="11" t="s">
        <v>159</v>
      </c>
      <c r="M9" s="11" t="s">
        <v>98</v>
      </c>
      <c r="N9" s="11" t="s">
        <v>162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4">
        <v>46237.0</v>
      </c>
      <c r="B10" s="11" t="s">
        <v>241</v>
      </c>
      <c r="C10" s="11" t="s">
        <v>130</v>
      </c>
      <c r="D10" s="11" t="s">
        <v>214</v>
      </c>
      <c r="E10" s="11" t="s">
        <v>242</v>
      </c>
      <c r="F10" s="11" t="s">
        <v>245</v>
      </c>
      <c r="G10" s="11" t="s">
        <v>248</v>
      </c>
      <c r="H10" s="11" t="s">
        <v>251</v>
      </c>
      <c r="I10" s="11" t="s">
        <v>224</v>
      </c>
      <c r="J10" s="11" t="s">
        <v>75</v>
      </c>
      <c r="K10" s="11" t="s">
        <v>95</v>
      </c>
      <c r="L10" s="11" t="s">
        <v>240</v>
      </c>
      <c r="M10" s="11" t="s">
        <v>66</v>
      </c>
      <c r="N10" s="16" t="s">
        <v>199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4">
        <v>46237.0</v>
      </c>
      <c r="B11" s="11" t="s">
        <v>264</v>
      </c>
      <c r="C11" s="11" t="s">
        <v>201</v>
      </c>
      <c r="D11" s="11" t="s">
        <v>192</v>
      </c>
      <c r="E11" s="11" t="s">
        <v>266</v>
      </c>
      <c r="F11" s="11" t="s">
        <v>267</v>
      </c>
      <c r="G11" s="11" t="s">
        <v>269</v>
      </c>
      <c r="H11" s="11" t="s">
        <v>271</v>
      </c>
      <c r="I11" s="11" t="s">
        <v>272</v>
      </c>
      <c r="J11" s="11" t="s">
        <v>75</v>
      </c>
      <c r="K11" s="11" t="s">
        <v>95</v>
      </c>
      <c r="L11" s="11" t="s">
        <v>279</v>
      </c>
      <c r="M11" s="11" t="s">
        <v>98</v>
      </c>
      <c r="N11" s="16" t="s">
        <v>199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4">
        <v>46238.0</v>
      </c>
      <c r="B12" s="11" t="s">
        <v>264</v>
      </c>
      <c r="C12" s="11" t="s">
        <v>169</v>
      </c>
      <c r="D12" s="11" t="s">
        <v>282</v>
      </c>
      <c r="E12" s="11" t="s">
        <v>284</v>
      </c>
      <c r="F12" s="11" t="s">
        <v>285</v>
      </c>
      <c r="G12" s="11" t="s">
        <v>286</v>
      </c>
      <c r="H12" s="11" t="s">
        <v>287</v>
      </c>
      <c r="I12" s="11" t="s">
        <v>224</v>
      </c>
      <c r="J12" s="11" t="s">
        <v>75</v>
      </c>
      <c r="K12" s="11" t="s">
        <v>191</v>
      </c>
      <c r="L12" s="11" t="s">
        <v>159</v>
      </c>
      <c r="M12" s="11" t="s">
        <v>66</v>
      </c>
      <c r="N12" s="11" t="s">
        <v>162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4">
        <v>46239.0</v>
      </c>
      <c r="B13" s="11" t="s">
        <v>300</v>
      </c>
      <c r="C13" s="11" t="s">
        <v>130</v>
      </c>
      <c r="D13" s="11" t="s">
        <v>302</v>
      </c>
      <c r="E13" s="11" t="s">
        <v>304</v>
      </c>
      <c r="F13" s="11" t="s">
        <v>305</v>
      </c>
      <c r="G13" s="11" t="s">
        <v>307</v>
      </c>
      <c r="H13" s="11" t="s">
        <v>184</v>
      </c>
      <c r="I13" s="11" t="s">
        <v>224</v>
      </c>
      <c r="J13" s="11" t="s">
        <v>75</v>
      </c>
      <c r="K13" s="11" t="s">
        <v>191</v>
      </c>
      <c r="L13" s="11" t="s">
        <v>159</v>
      </c>
      <c r="M13" s="11" t="s">
        <v>98</v>
      </c>
      <c r="N13" s="11" t="s">
        <v>162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14">
        <v>46240.0</v>
      </c>
      <c r="B14" s="11" t="s">
        <v>315</v>
      </c>
      <c r="C14" s="11" t="s">
        <v>317</v>
      </c>
      <c r="D14" s="11" t="s">
        <v>118</v>
      </c>
      <c r="E14" s="11" t="s">
        <v>318</v>
      </c>
      <c r="F14" s="11" t="s">
        <v>320</v>
      </c>
      <c r="G14" s="11" t="s">
        <v>322</v>
      </c>
      <c r="H14" s="11" t="s">
        <v>113</v>
      </c>
      <c r="I14" s="11" t="s">
        <v>325</v>
      </c>
      <c r="J14" s="11" t="s">
        <v>254</v>
      </c>
      <c r="K14" s="11" t="s">
        <v>95</v>
      </c>
      <c r="L14" s="11" t="s">
        <v>279</v>
      </c>
      <c r="M14" s="11" t="s">
        <v>98</v>
      </c>
      <c r="N14" s="11" t="s">
        <v>162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14">
        <v>46241.0</v>
      </c>
      <c r="B15" s="11" t="s">
        <v>241</v>
      </c>
      <c r="C15" s="11" t="s">
        <v>200</v>
      </c>
      <c r="D15" s="11" t="s">
        <v>332</v>
      </c>
      <c r="E15" s="11" t="s">
        <v>335</v>
      </c>
      <c r="F15" s="11" t="s">
        <v>337</v>
      </c>
      <c r="G15" s="11" t="s">
        <v>338</v>
      </c>
      <c r="H15" s="11" t="s">
        <v>271</v>
      </c>
      <c r="I15" s="11" t="s">
        <v>339</v>
      </c>
      <c r="J15" s="11" t="s">
        <v>254</v>
      </c>
      <c r="K15" s="11" t="s">
        <v>95</v>
      </c>
      <c r="L15" s="11" t="s">
        <v>255</v>
      </c>
      <c r="M15" s="11" t="s">
        <v>66</v>
      </c>
      <c r="N15" s="11" t="s">
        <v>162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4">
        <v>46242.0</v>
      </c>
      <c r="B16" s="11" t="s">
        <v>343</v>
      </c>
      <c r="C16" s="11" t="s">
        <v>345</v>
      </c>
      <c r="D16" s="11" t="s">
        <v>302</v>
      </c>
      <c r="E16" s="11" t="s">
        <v>347</v>
      </c>
      <c r="F16" s="11" t="s">
        <v>348</v>
      </c>
      <c r="G16" s="11" t="s">
        <v>349</v>
      </c>
      <c r="H16" s="11" t="s">
        <v>350</v>
      </c>
      <c r="I16" s="11" t="s">
        <v>224</v>
      </c>
      <c r="J16" s="11" t="s">
        <v>75</v>
      </c>
      <c r="K16" s="11" t="s">
        <v>191</v>
      </c>
      <c r="L16" s="11" t="s">
        <v>351</v>
      </c>
      <c r="M16" s="11" t="s">
        <v>66</v>
      </c>
      <c r="N16" s="11" t="s">
        <v>162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14">
        <v>46243.0</v>
      </c>
      <c r="B17" s="11" t="s">
        <v>358</v>
      </c>
      <c r="C17" s="11" t="s">
        <v>228</v>
      </c>
      <c r="D17" s="11" t="s">
        <v>359</v>
      </c>
      <c r="E17" s="11" t="s">
        <v>360</v>
      </c>
      <c r="F17" s="11" t="s">
        <v>361</v>
      </c>
      <c r="G17" s="11" t="s">
        <v>262</v>
      </c>
      <c r="H17" s="11" t="s">
        <v>362</v>
      </c>
      <c r="I17" s="11" t="s">
        <v>224</v>
      </c>
      <c r="J17" s="11" t="s">
        <v>75</v>
      </c>
      <c r="K17" s="11" t="s">
        <v>95</v>
      </c>
      <c r="L17" s="11" t="s">
        <v>194</v>
      </c>
      <c r="M17" s="11" t="s">
        <v>66</v>
      </c>
      <c r="N17" s="11" t="s">
        <v>162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14">
        <v>46243.0</v>
      </c>
      <c r="B18" s="11" t="s">
        <v>146</v>
      </c>
      <c r="C18" s="11" t="s">
        <v>228</v>
      </c>
      <c r="D18" s="11" t="s">
        <v>192</v>
      </c>
      <c r="E18" s="11" t="s">
        <v>363</v>
      </c>
      <c r="F18" s="11" t="s">
        <v>364</v>
      </c>
      <c r="G18" s="11" t="s">
        <v>365</v>
      </c>
      <c r="H18" s="11" t="s">
        <v>366</v>
      </c>
      <c r="I18" s="11" t="s">
        <v>367</v>
      </c>
      <c r="J18" s="11" t="s">
        <v>75</v>
      </c>
      <c r="K18" s="11" t="s">
        <v>95</v>
      </c>
      <c r="L18" s="11" t="s">
        <v>279</v>
      </c>
      <c r="M18" s="11" t="s">
        <v>98</v>
      </c>
      <c r="N18" s="11" t="s">
        <v>162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14">
        <v>46243.0</v>
      </c>
      <c r="B19" s="11" t="s">
        <v>315</v>
      </c>
      <c r="C19" s="11" t="s">
        <v>345</v>
      </c>
      <c r="D19" s="11" t="s">
        <v>368</v>
      </c>
      <c r="E19" s="11" t="s">
        <v>369</v>
      </c>
      <c r="F19" s="11" t="s">
        <v>370</v>
      </c>
      <c r="G19" s="11" t="s">
        <v>371</v>
      </c>
      <c r="H19" s="11" t="s">
        <v>372</v>
      </c>
      <c r="I19" s="11" t="s">
        <v>373</v>
      </c>
      <c r="J19" s="11" t="s">
        <v>75</v>
      </c>
      <c r="K19" s="11" t="s">
        <v>95</v>
      </c>
      <c r="L19" s="11" t="s">
        <v>279</v>
      </c>
      <c r="M19" s="11" t="s">
        <v>98</v>
      </c>
      <c r="N19" s="11" t="s">
        <v>162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14">
        <v>46243.0</v>
      </c>
      <c r="B20" s="11" t="s">
        <v>374</v>
      </c>
      <c r="C20" s="11" t="s">
        <v>116</v>
      </c>
      <c r="D20" s="11" t="s">
        <v>84</v>
      </c>
      <c r="E20" s="11" t="s">
        <v>375</v>
      </c>
      <c r="F20" s="11" t="s">
        <v>151</v>
      </c>
      <c r="G20" s="11" t="s">
        <v>376</v>
      </c>
      <c r="H20" s="11" t="s">
        <v>113</v>
      </c>
      <c r="I20" s="11" t="s">
        <v>93</v>
      </c>
      <c r="J20" s="11" t="s">
        <v>94</v>
      </c>
      <c r="K20" s="11" t="s">
        <v>95</v>
      </c>
      <c r="L20" s="11" t="s">
        <v>125</v>
      </c>
      <c r="M20" s="11" t="s">
        <v>98</v>
      </c>
      <c r="N20" s="11" t="s">
        <v>162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14">
        <v>46244.0</v>
      </c>
      <c r="B21" s="11" t="s">
        <v>377</v>
      </c>
      <c r="C21" s="11" t="s">
        <v>249</v>
      </c>
      <c r="D21" s="11" t="s">
        <v>378</v>
      </c>
      <c r="E21" s="11" t="s">
        <v>379</v>
      </c>
      <c r="F21" s="11" t="s">
        <v>380</v>
      </c>
      <c r="G21" s="11" t="s">
        <v>381</v>
      </c>
      <c r="H21" s="11" t="s">
        <v>382</v>
      </c>
      <c r="I21" s="11" t="s">
        <v>383</v>
      </c>
      <c r="J21" s="11" t="s">
        <v>157</v>
      </c>
      <c r="K21" s="11" t="s">
        <v>95</v>
      </c>
      <c r="L21" s="11" t="s">
        <v>279</v>
      </c>
      <c r="M21" s="11" t="s">
        <v>66</v>
      </c>
      <c r="N21" s="11" t="s">
        <v>162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14">
        <v>46244.0</v>
      </c>
      <c r="B22" s="11" t="s">
        <v>358</v>
      </c>
      <c r="C22" s="11" t="s">
        <v>249</v>
      </c>
      <c r="D22" s="11" t="s">
        <v>359</v>
      </c>
      <c r="E22" s="11" t="s">
        <v>384</v>
      </c>
      <c r="F22" s="11" t="s">
        <v>380</v>
      </c>
      <c r="G22" s="11" t="s">
        <v>385</v>
      </c>
      <c r="H22" s="11" t="s">
        <v>386</v>
      </c>
      <c r="I22" s="11" t="s">
        <v>224</v>
      </c>
      <c r="J22" s="11" t="s">
        <v>75</v>
      </c>
      <c r="K22" s="11" t="s">
        <v>95</v>
      </c>
      <c r="L22" s="11" t="s">
        <v>279</v>
      </c>
      <c r="M22" s="11" t="s">
        <v>98</v>
      </c>
      <c r="N22" s="11" t="s">
        <v>162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14">
        <v>46244.0</v>
      </c>
      <c r="B23" s="11" t="s">
        <v>387</v>
      </c>
      <c r="C23" s="11" t="s">
        <v>388</v>
      </c>
      <c r="D23" s="11" t="s">
        <v>176</v>
      </c>
      <c r="E23" s="11" t="s">
        <v>389</v>
      </c>
      <c r="F23" s="11" t="s">
        <v>390</v>
      </c>
      <c r="G23" s="11" t="s">
        <v>391</v>
      </c>
      <c r="H23" s="11" t="s">
        <v>386</v>
      </c>
      <c r="I23" s="11" t="s">
        <v>186</v>
      </c>
      <c r="J23" s="11" t="s">
        <v>75</v>
      </c>
      <c r="K23" s="11" t="s">
        <v>191</v>
      </c>
      <c r="L23" s="11" t="s">
        <v>159</v>
      </c>
      <c r="M23" s="11" t="s">
        <v>66</v>
      </c>
      <c r="N23" s="11" t="s">
        <v>162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14">
        <v>46245.0</v>
      </c>
      <c r="B24" s="11" t="s">
        <v>300</v>
      </c>
      <c r="C24" s="11" t="s">
        <v>392</v>
      </c>
      <c r="D24" s="11" t="s">
        <v>195</v>
      </c>
      <c r="E24" s="11" t="s">
        <v>393</v>
      </c>
      <c r="F24" s="11" t="s">
        <v>394</v>
      </c>
      <c r="G24" s="11" t="s">
        <v>395</v>
      </c>
      <c r="H24" s="11" t="s">
        <v>396</v>
      </c>
      <c r="I24" s="11" t="s">
        <v>397</v>
      </c>
      <c r="J24" s="11" t="s">
        <v>94</v>
      </c>
      <c r="K24" s="11" t="s">
        <v>95</v>
      </c>
      <c r="L24" s="11" t="s">
        <v>125</v>
      </c>
      <c r="M24" s="11" t="s">
        <v>98</v>
      </c>
      <c r="N24" s="11" t="s">
        <v>162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14">
        <v>46246.0</v>
      </c>
      <c r="B25" s="11" t="s">
        <v>300</v>
      </c>
      <c r="C25" s="11" t="s">
        <v>398</v>
      </c>
      <c r="D25" s="11" t="s">
        <v>398</v>
      </c>
      <c r="E25" s="11" t="s">
        <v>399</v>
      </c>
      <c r="F25" s="11" t="s">
        <v>400</v>
      </c>
      <c r="G25" s="11" t="s">
        <v>401</v>
      </c>
      <c r="H25" s="11" t="s">
        <v>402</v>
      </c>
      <c r="I25" s="11" t="s">
        <v>403</v>
      </c>
      <c r="J25" s="11" t="s">
        <v>75</v>
      </c>
      <c r="K25" s="11" t="s">
        <v>191</v>
      </c>
      <c r="L25" s="11" t="s">
        <v>96</v>
      </c>
      <c r="M25" s="11" t="s">
        <v>98</v>
      </c>
      <c r="N25" s="11" t="s">
        <v>162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14">
        <v>46247.0</v>
      </c>
      <c r="B26" s="11" t="s">
        <v>358</v>
      </c>
      <c r="C26" s="11" t="s">
        <v>392</v>
      </c>
      <c r="D26" s="11" t="s">
        <v>404</v>
      </c>
      <c r="E26" s="11" t="s">
        <v>405</v>
      </c>
      <c r="F26" s="11" t="s">
        <v>406</v>
      </c>
      <c r="G26" s="11" t="s">
        <v>407</v>
      </c>
      <c r="H26" s="11" t="s">
        <v>408</v>
      </c>
      <c r="I26" s="11" t="s">
        <v>409</v>
      </c>
      <c r="J26" s="11" t="s">
        <v>254</v>
      </c>
      <c r="K26" s="11" t="s">
        <v>95</v>
      </c>
      <c r="L26" s="11" t="s">
        <v>351</v>
      </c>
      <c r="M26" s="11" t="s">
        <v>98</v>
      </c>
      <c r="N26" s="11" t="s">
        <v>162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14">
        <v>46249.0</v>
      </c>
      <c r="B27" s="11" t="s">
        <v>300</v>
      </c>
      <c r="C27" s="11" t="s">
        <v>14</v>
      </c>
      <c r="D27" s="11" t="s">
        <v>410</v>
      </c>
      <c r="E27" s="11" t="s">
        <v>411</v>
      </c>
      <c r="F27" s="11" t="s">
        <v>412</v>
      </c>
      <c r="G27" s="11" t="s">
        <v>413</v>
      </c>
      <c r="H27" s="11" t="s">
        <v>414</v>
      </c>
      <c r="I27" s="11" t="s">
        <v>224</v>
      </c>
      <c r="J27" s="11" t="s">
        <v>75</v>
      </c>
      <c r="K27" s="11" t="s">
        <v>415</v>
      </c>
      <c r="L27" s="11" t="s">
        <v>96</v>
      </c>
      <c r="M27" s="11" t="s">
        <v>98</v>
      </c>
      <c r="N27" s="11" t="s">
        <v>162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14">
        <v>46250.0</v>
      </c>
      <c r="B28" s="11" t="s">
        <v>358</v>
      </c>
      <c r="C28" s="11" t="s">
        <v>416</v>
      </c>
      <c r="D28" s="11" t="s">
        <v>417</v>
      </c>
      <c r="E28" s="11" t="s">
        <v>268</v>
      </c>
      <c r="F28" s="11" t="s">
        <v>418</v>
      </c>
      <c r="G28" s="11" t="s">
        <v>419</v>
      </c>
      <c r="H28" s="11" t="s">
        <v>420</v>
      </c>
      <c r="I28" s="11" t="s">
        <v>421</v>
      </c>
      <c r="J28" s="11" t="s">
        <v>254</v>
      </c>
      <c r="K28" s="11" t="s">
        <v>95</v>
      </c>
      <c r="L28" s="11" t="s">
        <v>255</v>
      </c>
      <c r="M28" s="11" t="s">
        <v>66</v>
      </c>
      <c r="N28" s="11" t="s">
        <v>162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14">
        <v>46251.0</v>
      </c>
      <c r="B29" s="11" t="s">
        <v>343</v>
      </c>
      <c r="C29" s="11" t="s">
        <v>116</v>
      </c>
      <c r="D29" s="11" t="s">
        <v>118</v>
      </c>
      <c r="E29" s="11" t="s">
        <v>422</v>
      </c>
      <c r="F29" s="11" t="s">
        <v>423</v>
      </c>
      <c r="G29" s="11" t="s">
        <v>424</v>
      </c>
      <c r="H29" s="11" t="s">
        <v>113</v>
      </c>
      <c r="I29" s="11" t="s">
        <v>123</v>
      </c>
      <c r="J29" s="11" t="s">
        <v>254</v>
      </c>
      <c r="K29" s="11" t="s">
        <v>95</v>
      </c>
      <c r="L29" s="11" t="s">
        <v>351</v>
      </c>
      <c r="M29" s="11" t="s">
        <v>98</v>
      </c>
      <c r="N29" s="11" t="s">
        <v>162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14">
        <v>46254.0</v>
      </c>
      <c r="B30" s="11" t="s">
        <v>300</v>
      </c>
      <c r="C30" s="11" t="s">
        <v>392</v>
      </c>
      <c r="D30" s="11" t="s">
        <v>425</v>
      </c>
      <c r="E30" s="11" t="s">
        <v>426</v>
      </c>
      <c r="F30" s="11" t="s">
        <v>427</v>
      </c>
      <c r="G30" s="11" t="s">
        <v>428</v>
      </c>
      <c r="H30" s="11" t="s">
        <v>386</v>
      </c>
      <c r="I30" s="11" t="s">
        <v>429</v>
      </c>
      <c r="J30" s="11" t="s">
        <v>75</v>
      </c>
      <c r="K30" s="11" t="s">
        <v>191</v>
      </c>
      <c r="L30" s="11" t="s">
        <v>159</v>
      </c>
      <c r="M30" s="11" t="s">
        <v>98</v>
      </c>
      <c r="N30" s="11" t="s">
        <v>162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14">
        <v>46257.0</v>
      </c>
      <c r="B31" s="11" t="s">
        <v>358</v>
      </c>
      <c r="C31" s="11" t="s">
        <v>430</v>
      </c>
      <c r="D31" s="11" t="s">
        <v>417</v>
      </c>
      <c r="E31" s="11" t="s">
        <v>283</v>
      </c>
      <c r="F31" s="11" t="s">
        <v>431</v>
      </c>
      <c r="G31" s="11" t="s">
        <v>432</v>
      </c>
      <c r="H31" s="11" t="s">
        <v>396</v>
      </c>
      <c r="I31" s="11" t="s">
        <v>421</v>
      </c>
      <c r="J31" s="11" t="s">
        <v>254</v>
      </c>
      <c r="K31" s="11" t="s">
        <v>95</v>
      </c>
      <c r="L31" s="11" t="s">
        <v>255</v>
      </c>
      <c r="M31" s="11" t="s">
        <v>66</v>
      </c>
      <c r="N31" s="11" t="s">
        <v>162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14">
        <v>46258.0</v>
      </c>
      <c r="B32" s="11" t="s">
        <v>343</v>
      </c>
      <c r="C32" s="11" t="s">
        <v>116</v>
      </c>
      <c r="D32" s="11" t="s">
        <v>118</v>
      </c>
      <c r="E32" s="11" t="s">
        <v>433</v>
      </c>
      <c r="F32" s="11" t="s">
        <v>423</v>
      </c>
      <c r="G32" s="11" t="s">
        <v>434</v>
      </c>
      <c r="H32" s="11" t="s">
        <v>113</v>
      </c>
      <c r="I32" s="11" t="s">
        <v>123</v>
      </c>
      <c r="J32" s="11" t="s">
        <v>254</v>
      </c>
      <c r="K32" s="11" t="s">
        <v>95</v>
      </c>
      <c r="L32" s="11" t="s">
        <v>351</v>
      </c>
      <c r="M32" s="11" t="s">
        <v>98</v>
      </c>
      <c r="N32" s="11" t="s">
        <v>162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14">
        <v>46259.0</v>
      </c>
      <c r="B33" s="11" t="s">
        <v>435</v>
      </c>
      <c r="C33" s="11" t="s">
        <v>228</v>
      </c>
      <c r="D33" s="11" t="s">
        <v>436</v>
      </c>
      <c r="E33" s="11" t="s">
        <v>437</v>
      </c>
      <c r="F33" s="11" t="s">
        <v>438</v>
      </c>
      <c r="G33" s="11" t="s">
        <v>439</v>
      </c>
      <c r="H33" s="11" t="s">
        <v>113</v>
      </c>
      <c r="I33" s="11" t="s">
        <v>440</v>
      </c>
      <c r="J33" s="11" t="s">
        <v>75</v>
      </c>
      <c r="K33" s="11" t="s">
        <v>95</v>
      </c>
      <c r="L33" s="11" t="s">
        <v>194</v>
      </c>
      <c r="M33" s="11" t="s">
        <v>66</v>
      </c>
      <c r="N33" s="11" t="s">
        <v>162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14">
        <v>46260.0</v>
      </c>
      <c r="B34" s="11" t="s">
        <v>435</v>
      </c>
      <c r="C34" s="11" t="s">
        <v>228</v>
      </c>
      <c r="D34" s="11" t="s">
        <v>436</v>
      </c>
      <c r="E34" s="11" t="s">
        <v>441</v>
      </c>
      <c r="F34" s="11" t="s">
        <v>442</v>
      </c>
      <c r="G34" s="11" t="s">
        <v>443</v>
      </c>
      <c r="H34" s="11" t="s">
        <v>113</v>
      </c>
      <c r="I34" s="11" t="s">
        <v>73</v>
      </c>
      <c r="J34" s="11" t="s">
        <v>75</v>
      </c>
      <c r="K34" s="11" t="s">
        <v>95</v>
      </c>
      <c r="L34" s="11" t="s">
        <v>240</v>
      </c>
      <c r="M34" s="11" t="s">
        <v>66</v>
      </c>
      <c r="N34" s="11" t="s">
        <v>162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14">
        <v>46261.0</v>
      </c>
      <c r="B35" s="11" t="s">
        <v>300</v>
      </c>
      <c r="C35" s="11" t="s">
        <v>392</v>
      </c>
      <c r="D35" s="11" t="s">
        <v>425</v>
      </c>
      <c r="E35" s="11" t="s">
        <v>444</v>
      </c>
      <c r="F35" s="11" t="s">
        <v>427</v>
      </c>
      <c r="G35" s="11" t="s">
        <v>445</v>
      </c>
      <c r="H35" s="11" t="s">
        <v>386</v>
      </c>
      <c r="I35" s="11" t="s">
        <v>429</v>
      </c>
      <c r="J35" s="11" t="s">
        <v>75</v>
      </c>
      <c r="K35" s="11" t="s">
        <v>191</v>
      </c>
      <c r="L35" s="11" t="s">
        <v>159</v>
      </c>
      <c r="M35" s="11" t="s">
        <v>98</v>
      </c>
      <c r="N35" s="11" t="s">
        <v>162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14">
        <v>46262.0</v>
      </c>
      <c r="B36" s="11" t="s">
        <v>435</v>
      </c>
      <c r="C36" s="11" t="s">
        <v>446</v>
      </c>
      <c r="D36" s="11" t="s">
        <v>436</v>
      </c>
      <c r="E36" s="11" t="s">
        <v>447</v>
      </c>
      <c r="F36" s="11" t="s">
        <v>448</v>
      </c>
      <c r="G36" s="11" t="s">
        <v>449</v>
      </c>
      <c r="H36" s="11" t="s">
        <v>113</v>
      </c>
      <c r="I36" s="11" t="s">
        <v>440</v>
      </c>
      <c r="J36" s="11" t="s">
        <v>75</v>
      </c>
      <c r="K36" s="11" t="s">
        <v>191</v>
      </c>
      <c r="L36" s="11" t="s">
        <v>279</v>
      </c>
      <c r="M36" s="11" t="s">
        <v>98</v>
      </c>
      <c r="N36" s="11" t="s">
        <v>162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14">
        <v>46264.0</v>
      </c>
      <c r="B37" s="11" t="s">
        <v>450</v>
      </c>
      <c r="C37" s="11" t="s">
        <v>451</v>
      </c>
      <c r="D37" s="11" t="s">
        <v>404</v>
      </c>
      <c r="E37" s="11" t="s">
        <v>452</v>
      </c>
      <c r="F37" s="11" t="s">
        <v>453</v>
      </c>
      <c r="G37" s="11" t="s">
        <v>454</v>
      </c>
      <c r="H37" s="11" t="s">
        <v>455</v>
      </c>
      <c r="I37" s="11" t="s">
        <v>409</v>
      </c>
      <c r="J37" s="11" t="s">
        <v>254</v>
      </c>
      <c r="K37" s="11" t="s">
        <v>95</v>
      </c>
      <c r="L37" s="11" t="s">
        <v>159</v>
      </c>
      <c r="M37" s="11" t="s">
        <v>98</v>
      </c>
      <c r="N37" s="11" t="s">
        <v>162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14">
        <v>46264.0</v>
      </c>
      <c r="B38" s="11" t="s">
        <v>300</v>
      </c>
      <c r="C38" s="11" t="s">
        <v>228</v>
      </c>
      <c r="D38" s="11" t="s">
        <v>456</v>
      </c>
      <c r="E38" s="11" t="s">
        <v>457</v>
      </c>
      <c r="F38" s="11" t="s">
        <v>458</v>
      </c>
      <c r="G38" s="11" t="s">
        <v>459</v>
      </c>
      <c r="H38" s="11" t="s">
        <v>460</v>
      </c>
      <c r="I38" s="11" t="s">
        <v>461</v>
      </c>
      <c r="J38" s="11" t="s">
        <v>254</v>
      </c>
      <c r="K38" s="11" t="s">
        <v>95</v>
      </c>
      <c r="L38" s="11" t="s">
        <v>255</v>
      </c>
      <c r="M38" s="11" t="s">
        <v>66</v>
      </c>
      <c r="N38" s="11" t="s">
        <v>162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14">
        <v>46265.0</v>
      </c>
      <c r="B39" s="11" t="s">
        <v>146</v>
      </c>
      <c r="C39" s="11" t="s">
        <v>462</v>
      </c>
      <c r="D39" s="11" t="s">
        <v>463</v>
      </c>
      <c r="E39" s="11" t="s">
        <v>464</v>
      </c>
      <c r="F39" s="11" t="s">
        <v>465</v>
      </c>
      <c r="G39" s="11" t="s">
        <v>466</v>
      </c>
      <c r="H39" s="11" t="s">
        <v>460</v>
      </c>
      <c r="I39" s="11" t="s">
        <v>467</v>
      </c>
      <c r="J39" s="11" t="s">
        <v>254</v>
      </c>
      <c r="K39" s="11" t="s">
        <v>95</v>
      </c>
      <c r="L39" s="11" t="s">
        <v>279</v>
      </c>
      <c r="M39" s="11" t="s">
        <v>98</v>
      </c>
      <c r="N39" s="11" t="s">
        <v>162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14">
        <v>46266.0</v>
      </c>
      <c r="B40" s="11" t="s">
        <v>146</v>
      </c>
      <c r="C40" s="11" t="s">
        <v>228</v>
      </c>
      <c r="D40" s="11" t="s">
        <v>468</v>
      </c>
      <c r="E40" s="11" t="s">
        <v>469</v>
      </c>
      <c r="F40" s="11" t="s">
        <v>470</v>
      </c>
      <c r="G40" s="11" t="s">
        <v>471</v>
      </c>
      <c r="H40" s="11" t="s">
        <v>472</v>
      </c>
      <c r="I40" s="11" t="s">
        <v>473</v>
      </c>
      <c r="J40" s="11" t="s">
        <v>75</v>
      </c>
      <c r="K40" s="11" t="s">
        <v>191</v>
      </c>
      <c r="L40" s="11" t="s">
        <v>474</v>
      </c>
      <c r="M40" s="11" t="s">
        <v>98</v>
      </c>
      <c r="N40" s="11" t="s">
        <v>162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14">
        <v>46267.0</v>
      </c>
      <c r="B41" s="11" t="s">
        <v>343</v>
      </c>
      <c r="C41" s="11" t="s">
        <v>475</v>
      </c>
      <c r="D41" s="11" t="s">
        <v>118</v>
      </c>
      <c r="E41" s="11" t="s">
        <v>476</v>
      </c>
      <c r="F41" s="11" t="s">
        <v>477</v>
      </c>
      <c r="G41" s="11" t="s">
        <v>478</v>
      </c>
      <c r="H41" s="11" t="s">
        <v>113</v>
      </c>
      <c r="I41" s="11" t="s">
        <v>325</v>
      </c>
      <c r="J41" s="11" t="s">
        <v>94</v>
      </c>
      <c r="K41" s="11" t="s">
        <v>95</v>
      </c>
      <c r="L41" s="11" t="s">
        <v>255</v>
      </c>
      <c r="M41" s="11" t="s">
        <v>98</v>
      </c>
      <c r="N41" s="11" t="s">
        <v>162</v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14">
        <v>46269.0</v>
      </c>
      <c r="B42" s="11" t="s">
        <v>435</v>
      </c>
      <c r="C42" s="11" t="s">
        <v>328</v>
      </c>
      <c r="D42" s="11" t="s">
        <v>436</v>
      </c>
      <c r="E42" s="11" t="s">
        <v>479</v>
      </c>
      <c r="F42" s="11" t="s">
        <v>480</v>
      </c>
      <c r="G42" s="11" t="s">
        <v>481</v>
      </c>
      <c r="H42" s="11" t="s">
        <v>113</v>
      </c>
      <c r="I42" s="11" t="s">
        <v>73</v>
      </c>
      <c r="J42" s="11" t="s">
        <v>75</v>
      </c>
      <c r="K42" s="11" t="s">
        <v>95</v>
      </c>
      <c r="L42" s="11" t="s">
        <v>240</v>
      </c>
      <c r="M42" s="11" t="s">
        <v>66</v>
      </c>
      <c r="N42" s="11" t="s">
        <v>162</v>
      </c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14">
        <v>46270.0</v>
      </c>
      <c r="B43" s="11" t="s">
        <v>435</v>
      </c>
      <c r="C43" s="11" t="s">
        <v>446</v>
      </c>
      <c r="D43" s="11" t="s">
        <v>118</v>
      </c>
      <c r="E43" s="11" t="s">
        <v>482</v>
      </c>
      <c r="F43" s="11" t="s">
        <v>483</v>
      </c>
      <c r="G43" s="11" t="s">
        <v>484</v>
      </c>
      <c r="H43" s="11" t="s">
        <v>113</v>
      </c>
      <c r="I43" s="11" t="s">
        <v>485</v>
      </c>
      <c r="J43" s="11" t="s">
        <v>254</v>
      </c>
      <c r="K43" s="11" t="s">
        <v>95</v>
      </c>
      <c r="L43" s="11" t="s">
        <v>279</v>
      </c>
      <c r="M43" s="11" t="s">
        <v>98</v>
      </c>
      <c r="N43" s="11" t="s">
        <v>162</v>
      </c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14">
        <v>46271.0</v>
      </c>
      <c r="B44" s="11" t="s">
        <v>146</v>
      </c>
      <c r="C44" s="11" t="s">
        <v>328</v>
      </c>
      <c r="D44" s="11" t="s">
        <v>486</v>
      </c>
      <c r="E44" s="11" t="s">
        <v>487</v>
      </c>
      <c r="F44" s="11" t="s">
        <v>488</v>
      </c>
      <c r="G44" s="11" t="s">
        <v>489</v>
      </c>
      <c r="H44" s="11" t="s">
        <v>490</v>
      </c>
      <c r="I44" s="11" t="s">
        <v>491</v>
      </c>
      <c r="J44" s="11" t="s">
        <v>254</v>
      </c>
      <c r="K44" s="11" t="s">
        <v>95</v>
      </c>
      <c r="L44" s="11" t="s">
        <v>255</v>
      </c>
      <c r="M44" s="11" t="s">
        <v>98</v>
      </c>
      <c r="N44" s="11" t="s">
        <v>162</v>
      </c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E2"/>
  </mergeCells>
  <conditionalFormatting sqref="N5:N44">
    <cfRule type="expression" dxfId="0" priority="1">
      <formula>N5="Completado"</formula>
    </cfRule>
  </conditionalFormatting>
  <conditionalFormatting sqref="N5:N44">
    <cfRule type="expression" dxfId="1" priority="2">
      <formula>N5="Publicado"</formula>
    </cfRule>
  </conditionalFormatting>
  <conditionalFormatting sqref="N5:N44">
    <cfRule type="expression" dxfId="2" priority="3">
      <formula>N5="Bloqueado"</formula>
    </cfRule>
  </conditionalFormatting>
  <dataValidations>
    <dataValidation type="list" allowBlank="1" sqref="K5:K44">
      <formula1>"Alta,Media,Baja"</formula1>
    </dataValidation>
    <dataValidation type="list" allowBlank="1" sqref="N5:N44">
      <formula1>"Pendiente,En producción,Programado,Publicado,Completado,Bloqueado,No aplica,Pendiente de Aprobación"</formula1>
    </dataValidation>
    <dataValidation type="list" allowBlank="1" sqref="M5:M44">
      <formula1>"Sí,No"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4.0" topLeftCell="E1" activePane="topRight" state="frozen"/>
      <selection activeCell="F2" sqref="F2" pane="topRight"/>
    </sheetView>
  </sheetViews>
  <sheetFormatPr customHeight="1" defaultColWidth="12.63" defaultRowHeight="15.0"/>
  <cols>
    <col customWidth="1" min="1" max="1" width="8.0"/>
    <col customWidth="1" min="2" max="2" width="28.0"/>
    <col customWidth="1" min="3" max="3" width="16.0"/>
    <col customWidth="1" min="4" max="4" width="33.0"/>
    <col customWidth="1" min="5" max="5" width="29.0"/>
    <col customWidth="1" min="6" max="6" width="12.0"/>
    <col customWidth="1" min="7" max="7" width="26.0"/>
    <col customWidth="1" min="8" max="8" width="13.0"/>
    <col customWidth="1" min="9" max="9" width="40.0"/>
    <col customWidth="1" min="10" max="10" width="30.0"/>
    <col customWidth="1" min="11" max="11" width="16.0"/>
    <col customWidth="1" min="12" max="12" width="15.0"/>
    <col customWidth="1" min="13" max="13" width="14.0"/>
    <col customWidth="1" min="14" max="26" width="8.63"/>
  </cols>
  <sheetData>
    <row r="1" ht="30.0" customHeight="1">
      <c r="A1" s="1" t="s">
        <v>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6</v>
      </c>
      <c r="E2" s="3"/>
      <c r="F2" s="3"/>
      <c r="G2" s="3"/>
      <c r="H2" s="3"/>
      <c r="I2" s="3"/>
      <c r="J2" s="3"/>
      <c r="K2" s="3"/>
      <c r="L2" s="3"/>
      <c r="M2" s="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28</v>
      </c>
      <c r="B4" s="5" t="s">
        <v>29</v>
      </c>
      <c r="C4" s="5" t="s">
        <v>30</v>
      </c>
      <c r="D4" s="5" t="s">
        <v>31</v>
      </c>
      <c r="E4" s="5" t="s">
        <v>33</v>
      </c>
      <c r="F4" s="5" t="s">
        <v>35</v>
      </c>
      <c r="G4" s="5" t="s">
        <v>37</v>
      </c>
      <c r="H4" s="5" t="s">
        <v>38</v>
      </c>
      <c r="I4" s="5" t="s">
        <v>39</v>
      </c>
      <c r="J4" s="5" t="s">
        <v>41</v>
      </c>
      <c r="K4" s="5" t="s">
        <v>43</v>
      </c>
      <c r="L4" s="5" t="s">
        <v>45</v>
      </c>
      <c r="M4" s="5" t="s">
        <v>17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5" t="s">
        <v>49</v>
      </c>
      <c r="B5" s="11" t="s">
        <v>55</v>
      </c>
      <c r="C5" s="11" t="s">
        <v>36</v>
      </c>
      <c r="D5" s="11" t="s">
        <v>62</v>
      </c>
      <c r="E5" s="11" t="s">
        <v>64</v>
      </c>
      <c r="F5" s="11" t="s">
        <v>66</v>
      </c>
      <c r="G5" s="11" t="s">
        <v>67</v>
      </c>
      <c r="H5" s="11" t="s">
        <v>68</v>
      </c>
      <c r="I5" s="11" t="s">
        <v>70</v>
      </c>
      <c r="J5" s="11" t="s">
        <v>72</v>
      </c>
      <c r="K5" s="11" t="s">
        <v>73</v>
      </c>
      <c r="L5" s="11" t="s">
        <v>75</v>
      </c>
      <c r="M5" s="16" t="s">
        <v>87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5" t="s">
        <v>97</v>
      </c>
      <c r="B6" s="11" t="s">
        <v>99</v>
      </c>
      <c r="C6" s="11" t="s">
        <v>36</v>
      </c>
      <c r="D6" s="11" t="s">
        <v>101</v>
      </c>
      <c r="E6" s="11" t="s">
        <v>102</v>
      </c>
      <c r="F6" s="11" t="s">
        <v>98</v>
      </c>
      <c r="G6" s="11" t="s">
        <v>104</v>
      </c>
      <c r="H6" s="11" t="s">
        <v>105</v>
      </c>
      <c r="I6" s="11" t="s">
        <v>106</v>
      </c>
      <c r="J6" s="11" t="s">
        <v>108</v>
      </c>
      <c r="K6" s="11" t="s">
        <v>110</v>
      </c>
      <c r="L6" s="11" t="s">
        <v>113</v>
      </c>
      <c r="M6" s="16" t="s">
        <v>100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5" t="s">
        <v>126</v>
      </c>
      <c r="B7" s="11" t="s">
        <v>128</v>
      </c>
      <c r="C7" s="11" t="s">
        <v>130</v>
      </c>
      <c r="D7" s="11" t="s">
        <v>133</v>
      </c>
      <c r="E7" s="11" t="s">
        <v>136</v>
      </c>
      <c r="F7" s="11" t="s">
        <v>66</v>
      </c>
      <c r="G7" s="11" t="s">
        <v>142</v>
      </c>
      <c r="H7" s="11" t="s">
        <v>145</v>
      </c>
      <c r="I7" s="11" t="s">
        <v>147</v>
      </c>
      <c r="J7" s="11" t="s">
        <v>150</v>
      </c>
      <c r="K7" s="11" t="s">
        <v>73</v>
      </c>
      <c r="L7" s="11" t="s">
        <v>75</v>
      </c>
      <c r="M7" s="16" t="s">
        <v>87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5" t="s">
        <v>167</v>
      </c>
      <c r="B8" s="11" t="s">
        <v>168</v>
      </c>
      <c r="C8" s="11" t="s">
        <v>169</v>
      </c>
      <c r="D8" s="11" t="s">
        <v>170</v>
      </c>
      <c r="E8" s="11" t="s">
        <v>171</v>
      </c>
      <c r="F8" s="11" t="s">
        <v>66</v>
      </c>
      <c r="G8" s="11" t="s">
        <v>173</v>
      </c>
      <c r="H8" s="11" t="s">
        <v>174</v>
      </c>
      <c r="I8" s="11" t="s">
        <v>177</v>
      </c>
      <c r="J8" s="11" t="s">
        <v>73</v>
      </c>
      <c r="K8" s="11" t="s">
        <v>75</v>
      </c>
      <c r="L8" s="11" t="s">
        <v>162</v>
      </c>
      <c r="M8" s="11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5" t="s">
        <v>197</v>
      </c>
      <c r="B9" s="11" t="s">
        <v>200</v>
      </c>
      <c r="C9" s="11" t="s">
        <v>201</v>
      </c>
      <c r="D9" s="11" t="s">
        <v>202</v>
      </c>
      <c r="E9" s="11" t="s">
        <v>203</v>
      </c>
      <c r="F9" s="11" t="s">
        <v>66</v>
      </c>
      <c r="G9" s="11" t="s">
        <v>204</v>
      </c>
      <c r="H9" s="11" t="s">
        <v>205</v>
      </c>
      <c r="I9" s="11" t="s">
        <v>206</v>
      </c>
      <c r="J9" s="11" t="s">
        <v>207</v>
      </c>
      <c r="K9" s="11" t="s">
        <v>73</v>
      </c>
      <c r="L9" s="11" t="s">
        <v>75</v>
      </c>
      <c r="M9" s="11" t="s">
        <v>162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5" t="s">
        <v>226</v>
      </c>
      <c r="B10" s="11" t="s">
        <v>227</v>
      </c>
      <c r="C10" s="11" t="s">
        <v>228</v>
      </c>
      <c r="D10" s="11" t="s">
        <v>229</v>
      </c>
      <c r="E10" s="11" t="s">
        <v>230</v>
      </c>
      <c r="F10" s="11" t="s">
        <v>66</v>
      </c>
      <c r="G10" s="11" t="s">
        <v>231</v>
      </c>
      <c r="H10" s="11" t="s">
        <v>232</v>
      </c>
      <c r="I10" s="11" t="s">
        <v>233</v>
      </c>
      <c r="J10" s="11" t="s">
        <v>236</v>
      </c>
      <c r="K10" s="11" t="s">
        <v>73</v>
      </c>
      <c r="L10" s="11" t="s">
        <v>75</v>
      </c>
      <c r="M10" s="11" t="s">
        <v>162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5" t="s">
        <v>243</v>
      </c>
      <c r="B11" s="11" t="s">
        <v>246</v>
      </c>
      <c r="C11" s="11" t="s">
        <v>249</v>
      </c>
      <c r="D11" s="11" t="s">
        <v>252</v>
      </c>
      <c r="E11" s="11" t="s">
        <v>253</v>
      </c>
      <c r="F11" s="11" t="s">
        <v>66</v>
      </c>
      <c r="G11" s="11" t="s">
        <v>256</v>
      </c>
      <c r="H11" s="11" t="s">
        <v>257</v>
      </c>
      <c r="I11" s="11" t="s">
        <v>258</v>
      </c>
      <c r="J11" s="11" t="s">
        <v>259</v>
      </c>
      <c r="K11" s="11" t="s">
        <v>73</v>
      </c>
      <c r="L11" s="11" t="s">
        <v>75</v>
      </c>
      <c r="M11" s="11" t="s">
        <v>162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5" t="s">
        <v>265</v>
      </c>
      <c r="B12" s="11" t="s">
        <v>114</v>
      </c>
      <c r="C12" s="11" t="s">
        <v>14</v>
      </c>
      <c r="D12" s="11" t="s">
        <v>268</v>
      </c>
      <c r="E12" s="11" t="s">
        <v>270</v>
      </c>
      <c r="F12" s="11" t="s">
        <v>66</v>
      </c>
      <c r="G12" s="11" t="s">
        <v>273</v>
      </c>
      <c r="H12" s="11" t="s">
        <v>274</v>
      </c>
      <c r="I12" s="11" t="s">
        <v>277</v>
      </c>
      <c r="J12" s="11" t="s">
        <v>280</v>
      </c>
      <c r="K12" s="11" t="s">
        <v>73</v>
      </c>
      <c r="L12" s="11" t="s">
        <v>75</v>
      </c>
      <c r="M12" s="11" t="s">
        <v>162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5" t="s">
        <v>281</v>
      </c>
      <c r="B13" s="11" t="s">
        <v>141</v>
      </c>
      <c r="C13" s="11" t="s">
        <v>14</v>
      </c>
      <c r="D13" s="11" t="s">
        <v>283</v>
      </c>
      <c r="E13" s="11" t="s">
        <v>270</v>
      </c>
      <c r="F13" s="11" t="s">
        <v>66</v>
      </c>
      <c r="G13" s="11" t="s">
        <v>273</v>
      </c>
      <c r="H13" s="11" t="s">
        <v>288</v>
      </c>
      <c r="I13" s="11" t="s">
        <v>289</v>
      </c>
      <c r="J13" s="11" t="s">
        <v>290</v>
      </c>
      <c r="K13" s="11" t="s">
        <v>73</v>
      </c>
      <c r="L13" s="11" t="s">
        <v>75</v>
      </c>
      <c r="M13" s="11" t="s">
        <v>162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15" t="s">
        <v>298</v>
      </c>
      <c r="B14" s="11" t="s">
        <v>299</v>
      </c>
      <c r="C14" s="11" t="s">
        <v>228</v>
      </c>
      <c r="D14" s="11" t="s">
        <v>301</v>
      </c>
      <c r="E14" s="11" t="s">
        <v>303</v>
      </c>
      <c r="F14" s="11" t="s">
        <v>66</v>
      </c>
      <c r="G14" s="11" t="s">
        <v>306</v>
      </c>
      <c r="H14" s="11" t="s">
        <v>308</v>
      </c>
      <c r="I14" s="11" t="s">
        <v>309</v>
      </c>
      <c r="J14" s="11" t="s">
        <v>310</v>
      </c>
      <c r="K14" s="11" t="s">
        <v>73</v>
      </c>
      <c r="L14" s="11" t="s">
        <v>75</v>
      </c>
      <c r="M14" s="11" t="s">
        <v>162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15" t="s">
        <v>311</v>
      </c>
      <c r="B15" s="11" t="s">
        <v>312</v>
      </c>
      <c r="C15" s="11" t="s">
        <v>313</v>
      </c>
      <c r="D15" s="11" t="s">
        <v>314</v>
      </c>
      <c r="E15" s="11" t="s">
        <v>316</v>
      </c>
      <c r="F15" s="11" t="s">
        <v>66</v>
      </c>
      <c r="G15" s="11" t="s">
        <v>319</v>
      </c>
      <c r="H15" s="11" t="s">
        <v>321</v>
      </c>
      <c r="I15" s="11" t="s">
        <v>323</v>
      </c>
      <c r="J15" s="11" t="s">
        <v>324</v>
      </c>
      <c r="K15" s="11" t="s">
        <v>73</v>
      </c>
      <c r="L15" s="11" t="s">
        <v>75</v>
      </c>
      <c r="M15" s="11" t="s">
        <v>162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5" t="s">
        <v>326</v>
      </c>
      <c r="B16" s="11" t="s">
        <v>327</v>
      </c>
      <c r="C16" s="11" t="s">
        <v>328</v>
      </c>
      <c r="D16" s="11" t="s">
        <v>329</v>
      </c>
      <c r="E16" s="11" t="s">
        <v>330</v>
      </c>
      <c r="F16" s="11" t="s">
        <v>66</v>
      </c>
      <c r="G16" s="11" t="s">
        <v>331</v>
      </c>
      <c r="H16" s="11" t="s">
        <v>333</v>
      </c>
      <c r="I16" s="11" t="s">
        <v>334</v>
      </c>
      <c r="J16" s="11" t="s">
        <v>336</v>
      </c>
      <c r="K16" s="11" t="s">
        <v>73</v>
      </c>
      <c r="L16" s="11" t="s">
        <v>75</v>
      </c>
      <c r="M16" s="11" t="s">
        <v>162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15" t="s">
        <v>340</v>
      </c>
      <c r="B17" s="11" t="s">
        <v>341</v>
      </c>
      <c r="C17" s="11" t="s">
        <v>328</v>
      </c>
      <c r="D17" s="11" t="s">
        <v>342</v>
      </c>
      <c r="E17" s="11" t="s">
        <v>330</v>
      </c>
      <c r="F17" s="11" t="s">
        <v>66</v>
      </c>
      <c r="G17" s="11" t="s">
        <v>331</v>
      </c>
      <c r="H17" s="11" t="s">
        <v>333</v>
      </c>
      <c r="I17" s="11" t="s">
        <v>344</v>
      </c>
      <c r="J17" s="11" t="s">
        <v>346</v>
      </c>
      <c r="K17" s="11" t="s">
        <v>73</v>
      </c>
      <c r="L17" s="11" t="s">
        <v>75</v>
      </c>
      <c r="M17" s="11" t="s">
        <v>162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15" t="s">
        <v>352</v>
      </c>
      <c r="B18" s="11" t="s">
        <v>353</v>
      </c>
      <c r="C18" s="11" t="s">
        <v>328</v>
      </c>
      <c r="D18" s="11" t="s">
        <v>354</v>
      </c>
      <c r="E18" s="11" t="s">
        <v>230</v>
      </c>
      <c r="F18" s="11" t="s">
        <v>66</v>
      </c>
      <c r="G18" s="11" t="s">
        <v>273</v>
      </c>
      <c r="H18" s="11" t="s">
        <v>355</v>
      </c>
      <c r="I18" s="11" t="s">
        <v>356</v>
      </c>
      <c r="J18" s="11" t="s">
        <v>357</v>
      </c>
      <c r="K18" s="11" t="s">
        <v>73</v>
      </c>
      <c r="L18" s="11" t="s">
        <v>75</v>
      </c>
      <c r="M18" s="11" t="s">
        <v>162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D2"/>
  </mergeCells>
  <dataValidations>
    <dataValidation type="list" allowBlank="1" sqref="M5:M18">
      <formula1>"Pendiente,En producción,Programado,Publicado,Completado,Bloqueado,Pendiente de aprobación"</formula1>
    </dataValidation>
    <dataValidation type="list" allowBlank="1" sqref="F5:F18">
      <formula1>"Sí,No"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2.0"/>
    <col customWidth="1" min="3" max="3" width="20.0"/>
    <col customWidth="1" min="4" max="4" width="24.0"/>
    <col customWidth="1" min="5" max="5" width="39.0"/>
    <col customWidth="1" min="6" max="6" width="38.0"/>
    <col customWidth="1" min="7" max="7" width="31.0"/>
    <col customWidth="1" min="8" max="8" width="23.0"/>
    <col customWidth="1" min="9" max="9" width="30.0"/>
    <col customWidth="1" min="10" max="10" width="22.0"/>
    <col customWidth="1" min="11" max="11" width="17.0"/>
    <col customWidth="1" min="12" max="12" width="18.0"/>
    <col customWidth="1" min="13" max="13" width="14.0"/>
    <col customWidth="1" min="14" max="26" width="8.63"/>
  </cols>
  <sheetData>
    <row r="1" ht="30.0" customHeight="1">
      <c r="A1" s="1" t="s">
        <v>492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493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28</v>
      </c>
      <c r="B4" s="5" t="s">
        <v>175</v>
      </c>
      <c r="C4" s="5" t="s">
        <v>494</v>
      </c>
      <c r="D4" s="5" t="s">
        <v>495</v>
      </c>
      <c r="E4" s="5" t="s">
        <v>496</v>
      </c>
      <c r="F4" s="5" t="s">
        <v>497</v>
      </c>
      <c r="G4" s="5" t="s">
        <v>51</v>
      </c>
      <c r="H4" s="5" t="s">
        <v>52</v>
      </c>
      <c r="I4" s="5" t="s">
        <v>43</v>
      </c>
      <c r="J4" s="5" t="s">
        <v>498</v>
      </c>
      <c r="K4" s="5" t="s">
        <v>499</v>
      </c>
      <c r="L4" s="5" t="s">
        <v>45</v>
      </c>
      <c r="M4" s="5" t="s">
        <v>17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1" t="s">
        <v>500</v>
      </c>
      <c r="B5" s="11" t="s">
        <v>501</v>
      </c>
      <c r="C5" s="11" t="s">
        <v>502</v>
      </c>
      <c r="D5" s="11" t="s">
        <v>503</v>
      </c>
      <c r="E5" s="11" t="s">
        <v>504</v>
      </c>
      <c r="F5" s="11" t="s">
        <v>505</v>
      </c>
      <c r="G5" s="11" t="s">
        <v>506</v>
      </c>
      <c r="H5" s="11" t="s">
        <v>271</v>
      </c>
      <c r="I5" s="11" t="s">
        <v>367</v>
      </c>
      <c r="J5" s="11" t="s">
        <v>507</v>
      </c>
      <c r="K5" s="11" t="s">
        <v>508</v>
      </c>
      <c r="L5" s="11" t="s">
        <v>75</v>
      </c>
      <c r="M5" s="11" t="s">
        <v>162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1" t="s">
        <v>509</v>
      </c>
      <c r="B6" s="11" t="s">
        <v>510</v>
      </c>
      <c r="C6" s="11" t="s">
        <v>511</v>
      </c>
      <c r="D6" s="11" t="s">
        <v>512</v>
      </c>
      <c r="E6" s="11" t="s">
        <v>513</v>
      </c>
      <c r="F6" s="11" t="s">
        <v>514</v>
      </c>
      <c r="G6" s="11" t="s">
        <v>515</v>
      </c>
      <c r="H6" s="11" t="s">
        <v>516</v>
      </c>
      <c r="I6" s="11" t="s">
        <v>367</v>
      </c>
      <c r="J6" s="11" t="s">
        <v>517</v>
      </c>
      <c r="K6" s="11" t="s">
        <v>508</v>
      </c>
      <c r="L6" s="11" t="s">
        <v>75</v>
      </c>
      <c r="M6" s="11" t="s">
        <v>162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1" t="s">
        <v>518</v>
      </c>
      <c r="B7" s="11" t="s">
        <v>227</v>
      </c>
      <c r="C7" s="11" t="s">
        <v>519</v>
      </c>
      <c r="D7" s="11" t="s">
        <v>520</v>
      </c>
      <c r="E7" s="11" t="s">
        <v>521</v>
      </c>
      <c r="F7" s="11" t="s">
        <v>522</v>
      </c>
      <c r="G7" s="11" t="s">
        <v>262</v>
      </c>
      <c r="H7" s="11" t="s">
        <v>366</v>
      </c>
      <c r="I7" s="11" t="s">
        <v>367</v>
      </c>
      <c r="J7" s="11" t="s">
        <v>517</v>
      </c>
      <c r="K7" s="11" t="s">
        <v>523</v>
      </c>
      <c r="L7" s="11" t="s">
        <v>75</v>
      </c>
      <c r="M7" s="11" t="s">
        <v>162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1" t="s">
        <v>524</v>
      </c>
      <c r="B8" s="11" t="s">
        <v>525</v>
      </c>
      <c r="C8" s="11" t="s">
        <v>526</v>
      </c>
      <c r="D8" s="11" t="s">
        <v>512</v>
      </c>
      <c r="E8" s="11" t="s">
        <v>525</v>
      </c>
      <c r="F8" s="11" t="s">
        <v>527</v>
      </c>
      <c r="G8" s="11" t="s">
        <v>349</v>
      </c>
      <c r="H8" s="11" t="s">
        <v>372</v>
      </c>
      <c r="I8" s="11" t="s">
        <v>367</v>
      </c>
      <c r="J8" s="11" t="s">
        <v>517</v>
      </c>
      <c r="K8" s="11" t="s">
        <v>508</v>
      </c>
      <c r="L8" s="11" t="s">
        <v>75</v>
      </c>
      <c r="M8" s="11" t="s">
        <v>162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1" t="s">
        <v>528</v>
      </c>
      <c r="B9" s="11" t="s">
        <v>246</v>
      </c>
      <c r="C9" s="11" t="s">
        <v>529</v>
      </c>
      <c r="D9" s="11" t="s">
        <v>512</v>
      </c>
      <c r="E9" s="11" t="s">
        <v>530</v>
      </c>
      <c r="F9" s="11" t="s">
        <v>531</v>
      </c>
      <c r="G9" s="11" t="s">
        <v>532</v>
      </c>
      <c r="H9" s="11" t="s">
        <v>382</v>
      </c>
      <c r="I9" s="11" t="s">
        <v>533</v>
      </c>
      <c r="J9" s="11" t="s">
        <v>517</v>
      </c>
      <c r="K9" s="11" t="s">
        <v>534</v>
      </c>
      <c r="L9" s="11" t="s">
        <v>254</v>
      </c>
      <c r="M9" s="11" t="s">
        <v>162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1" t="s">
        <v>535</v>
      </c>
      <c r="B10" s="11" t="s">
        <v>405</v>
      </c>
      <c r="C10" s="11" t="s">
        <v>536</v>
      </c>
      <c r="D10" s="11" t="s">
        <v>537</v>
      </c>
      <c r="E10" s="11" t="s">
        <v>538</v>
      </c>
      <c r="F10" s="11" t="s">
        <v>539</v>
      </c>
      <c r="G10" s="11" t="s">
        <v>540</v>
      </c>
      <c r="H10" s="11" t="s">
        <v>408</v>
      </c>
      <c r="I10" s="11" t="s">
        <v>367</v>
      </c>
      <c r="J10" s="11" t="s">
        <v>517</v>
      </c>
      <c r="K10" s="11" t="s">
        <v>98</v>
      </c>
      <c r="L10" s="11" t="s">
        <v>75</v>
      </c>
      <c r="M10" s="11" t="s">
        <v>162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1" t="s">
        <v>541</v>
      </c>
      <c r="B11" s="11" t="s">
        <v>114</v>
      </c>
      <c r="C11" s="11" t="s">
        <v>542</v>
      </c>
      <c r="D11" s="11" t="s">
        <v>543</v>
      </c>
      <c r="E11" s="11" t="s">
        <v>544</v>
      </c>
      <c r="F11" s="11" t="s">
        <v>545</v>
      </c>
      <c r="G11" s="11" t="s">
        <v>546</v>
      </c>
      <c r="H11" s="11" t="s">
        <v>420</v>
      </c>
      <c r="I11" s="11" t="s">
        <v>367</v>
      </c>
      <c r="J11" s="11" t="s">
        <v>517</v>
      </c>
      <c r="K11" s="11" t="s">
        <v>547</v>
      </c>
      <c r="L11" s="11" t="s">
        <v>75</v>
      </c>
      <c r="M11" s="11" t="s">
        <v>162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1" t="s">
        <v>548</v>
      </c>
      <c r="B12" s="11" t="s">
        <v>141</v>
      </c>
      <c r="C12" s="11" t="s">
        <v>549</v>
      </c>
      <c r="D12" s="11" t="s">
        <v>543</v>
      </c>
      <c r="E12" s="11" t="s">
        <v>550</v>
      </c>
      <c r="F12" s="11" t="s">
        <v>551</v>
      </c>
      <c r="G12" s="11" t="s">
        <v>552</v>
      </c>
      <c r="H12" s="11" t="s">
        <v>396</v>
      </c>
      <c r="I12" s="11" t="s">
        <v>367</v>
      </c>
      <c r="J12" s="11" t="s">
        <v>517</v>
      </c>
      <c r="K12" s="11" t="s">
        <v>553</v>
      </c>
      <c r="L12" s="11" t="s">
        <v>75</v>
      </c>
      <c r="M12" s="11" t="s">
        <v>162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1" t="s">
        <v>554</v>
      </c>
      <c r="B13" s="11" t="s">
        <v>555</v>
      </c>
      <c r="C13" s="11" t="s">
        <v>556</v>
      </c>
      <c r="D13" s="11" t="s">
        <v>537</v>
      </c>
      <c r="E13" s="11" t="s">
        <v>452</v>
      </c>
      <c r="F13" s="11" t="s">
        <v>557</v>
      </c>
      <c r="G13" s="11" t="s">
        <v>558</v>
      </c>
      <c r="H13" s="11" t="s">
        <v>455</v>
      </c>
      <c r="I13" s="11" t="s">
        <v>367</v>
      </c>
      <c r="J13" s="11" t="s">
        <v>517</v>
      </c>
      <c r="K13" s="11" t="s">
        <v>559</v>
      </c>
      <c r="L13" s="11" t="s">
        <v>75</v>
      </c>
      <c r="M13" s="11" t="s">
        <v>162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11" t="s">
        <v>560</v>
      </c>
      <c r="B14" s="11" t="s">
        <v>561</v>
      </c>
      <c r="C14" s="11" t="s">
        <v>562</v>
      </c>
      <c r="D14" s="11" t="s">
        <v>563</v>
      </c>
      <c r="E14" s="11" t="s">
        <v>561</v>
      </c>
      <c r="F14" s="11" t="s">
        <v>564</v>
      </c>
      <c r="G14" s="11" t="s">
        <v>565</v>
      </c>
      <c r="H14" s="11" t="s">
        <v>460</v>
      </c>
      <c r="I14" s="11" t="s">
        <v>566</v>
      </c>
      <c r="J14" s="11" t="s">
        <v>567</v>
      </c>
      <c r="K14" s="11" t="s">
        <v>559</v>
      </c>
      <c r="L14" s="11" t="s">
        <v>254</v>
      </c>
      <c r="M14" s="11" t="s">
        <v>162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11" t="s">
        <v>568</v>
      </c>
      <c r="B15" s="11" t="s">
        <v>569</v>
      </c>
      <c r="C15" s="11" t="s">
        <v>570</v>
      </c>
      <c r="D15" s="11" t="s">
        <v>563</v>
      </c>
      <c r="E15" s="11" t="s">
        <v>571</v>
      </c>
      <c r="F15" s="11" t="s">
        <v>572</v>
      </c>
      <c r="G15" s="11" t="s">
        <v>573</v>
      </c>
      <c r="H15" s="11" t="s">
        <v>460</v>
      </c>
      <c r="I15" s="11" t="s">
        <v>367</v>
      </c>
      <c r="J15" s="11" t="s">
        <v>517</v>
      </c>
      <c r="K15" s="11" t="s">
        <v>98</v>
      </c>
      <c r="L15" s="11" t="s">
        <v>75</v>
      </c>
      <c r="M15" s="11" t="s">
        <v>162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1" t="s">
        <v>574</v>
      </c>
      <c r="B16" s="11" t="s">
        <v>575</v>
      </c>
      <c r="C16" s="11" t="s">
        <v>576</v>
      </c>
      <c r="D16" s="11" t="s">
        <v>563</v>
      </c>
      <c r="E16" s="11" t="s">
        <v>577</v>
      </c>
      <c r="F16" s="11" t="s">
        <v>578</v>
      </c>
      <c r="G16" s="11" t="s">
        <v>579</v>
      </c>
      <c r="H16" s="11" t="s">
        <v>472</v>
      </c>
      <c r="I16" s="11" t="s">
        <v>580</v>
      </c>
      <c r="J16" s="11" t="s">
        <v>517</v>
      </c>
      <c r="K16" s="11" t="s">
        <v>98</v>
      </c>
      <c r="L16" s="11" t="s">
        <v>75</v>
      </c>
      <c r="M16" s="11" t="s">
        <v>162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11" t="s">
        <v>581</v>
      </c>
      <c r="B17" s="11" t="s">
        <v>353</v>
      </c>
      <c r="C17" s="11" t="s">
        <v>582</v>
      </c>
      <c r="D17" s="11" t="s">
        <v>583</v>
      </c>
      <c r="E17" s="11" t="s">
        <v>584</v>
      </c>
      <c r="F17" s="11" t="s">
        <v>585</v>
      </c>
      <c r="G17" s="11" t="s">
        <v>586</v>
      </c>
      <c r="H17" s="11" t="s">
        <v>490</v>
      </c>
      <c r="I17" s="11" t="s">
        <v>367</v>
      </c>
      <c r="J17" s="11" t="s">
        <v>517</v>
      </c>
      <c r="K17" s="11" t="s">
        <v>587</v>
      </c>
      <c r="L17" s="11" t="s">
        <v>75</v>
      </c>
      <c r="M17" s="11" t="s">
        <v>162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5" t="s">
        <v>588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M1"/>
    <mergeCell ref="A2:M2"/>
    <mergeCell ref="A20:M22"/>
  </mergeCells>
  <dataValidations>
    <dataValidation type="list" allowBlank="1" sqref="M5:M17">
      <formula1>"Pendiente,Redactado,Programado,Enviado,Bloqueado"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22.0"/>
    <col customWidth="1" min="3" max="3" width="23.0"/>
    <col customWidth="1" min="4" max="4" width="12.0"/>
    <col customWidth="1" min="5" max="5" width="22.0"/>
    <col customWidth="1" min="6" max="6" width="31.0"/>
    <col customWidth="1" min="7" max="7" width="39.0"/>
    <col customWidth="1" min="8" max="8" width="22.0"/>
    <col customWidth="1" min="9" max="9" width="24.0"/>
    <col customWidth="1" min="10" max="11" width="17.0"/>
    <col customWidth="1" min="12" max="12" width="14.0"/>
    <col customWidth="1" min="13" max="26" width="8.63"/>
  </cols>
  <sheetData>
    <row r="1" ht="30.0" customHeight="1">
      <c r="A1" s="1" t="s">
        <v>589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590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15</v>
      </c>
      <c r="B4" s="5" t="s">
        <v>47</v>
      </c>
      <c r="C4" s="5" t="s">
        <v>591</v>
      </c>
      <c r="D4" s="5" t="s">
        <v>592</v>
      </c>
      <c r="E4" s="5" t="s">
        <v>29</v>
      </c>
      <c r="F4" s="5" t="s">
        <v>593</v>
      </c>
      <c r="G4" s="5" t="s">
        <v>594</v>
      </c>
      <c r="H4" s="5" t="s">
        <v>52</v>
      </c>
      <c r="I4" s="5" t="s">
        <v>43</v>
      </c>
      <c r="J4" s="5" t="s">
        <v>595</v>
      </c>
      <c r="K4" s="5" t="s">
        <v>45</v>
      </c>
      <c r="L4" s="5" t="s">
        <v>17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23">
        <v>46236.0</v>
      </c>
      <c r="B5" s="11" t="s">
        <v>176</v>
      </c>
      <c r="C5" s="11" t="s">
        <v>596</v>
      </c>
      <c r="D5" s="11" t="s">
        <v>597</v>
      </c>
      <c r="E5" s="11" t="s">
        <v>598</v>
      </c>
      <c r="F5" s="11" t="s">
        <v>599</v>
      </c>
      <c r="G5" s="11" t="s">
        <v>70</v>
      </c>
      <c r="H5" s="11" t="s">
        <v>184</v>
      </c>
      <c r="I5" s="11" t="s">
        <v>186</v>
      </c>
      <c r="J5" s="11" t="s">
        <v>600</v>
      </c>
      <c r="K5" s="11" t="s">
        <v>75</v>
      </c>
      <c r="L5" s="11" t="s">
        <v>162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23">
        <v>46236.0</v>
      </c>
      <c r="B6" s="11" t="s">
        <v>176</v>
      </c>
      <c r="C6" s="11" t="s">
        <v>601</v>
      </c>
      <c r="D6" s="11" t="s">
        <v>601</v>
      </c>
      <c r="E6" s="11" t="s">
        <v>602</v>
      </c>
      <c r="F6" s="11" t="s">
        <v>603</v>
      </c>
      <c r="G6" s="11" t="s">
        <v>604</v>
      </c>
      <c r="H6" s="11" t="s">
        <v>223</v>
      </c>
      <c r="I6" s="11" t="s">
        <v>224</v>
      </c>
      <c r="J6" s="11" t="s">
        <v>605</v>
      </c>
      <c r="K6" s="11" t="s">
        <v>75</v>
      </c>
      <c r="L6" s="11" t="s">
        <v>162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23">
        <v>46236.0</v>
      </c>
      <c r="B7" s="11" t="s">
        <v>607</v>
      </c>
      <c r="C7" s="11" t="s">
        <v>608</v>
      </c>
      <c r="D7" s="11" t="s">
        <v>609</v>
      </c>
      <c r="E7" s="11" t="s">
        <v>610</v>
      </c>
      <c r="F7" s="11" t="s">
        <v>611</v>
      </c>
      <c r="G7" s="11" t="s">
        <v>612</v>
      </c>
      <c r="H7" s="11" t="s">
        <v>613</v>
      </c>
      <c r="I7" s="11" t="s">
        <v>607</v>
      </c>
      <c r="J7" s="11" t="s">
        <v>605</v>
      </c>
      <c r="K7" s="11" t="s">
        <v>75</v>
      </c>
      <c r="L7" s="11" t="s">
        <v>162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3">
        <v>46237.0</v>
      </c>
      <c r="B8" s="11" t="s">
        <v>214</v>
      </c>
      <c r="C8" s="11" t="s">
        <v>601</v>
      </c>
      <c r="D8" s="11" t="s">
        <v>601</v>
      </c>
      <c r="E8" s="11" t="s">
        <v>615</v>
      </c>
      <c r="F8" s="11" t="s">
        <v>616</v>
      </c>
      <c r="G8" s="11" t="s">
        <v>617</v>
      </c>
      <c r="H8" s="11" t="s">
        <v>366</v>
      </c>
      <c r="I8" s="11" t="s">
        <v>224</v>
      </c>
      <c r="J8" s="11" t="s">
        <v>618</v>
      </c>
      <c r="K8" s="11" t="s">
        <v>75</v>
      </c>
      <c r="L8" s="11" t="s">
        <v>162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3">
        <v>46238.0</v>
      </c>
      <c r="B9" s="11" t="s">
        <v>282</v>
      </c>
      <c r="C9" s="11" t="s">
        <v>302</v>
      </c>
      <c r="D9" s="11" t="s">
        <v>410</v>
      </c>
      <c r="E9" s="11" t="s">
        <v>619</v>
      </c>
      <c r="F9" s="11" t="s">
        <v>620</v>
      </c>
      <c r="G9" s="11" t="s">
        <v>621</v>
      </c>
      <c r="H9" s="11" t="s">
        <v>287</v>
      </c>
      <c r="I9" s="11" t="s">
        <v>224</v>
      </c>
      <c r="J9" s="11" t="s">
        <v>622</v>
      </c>
      <c r="K9" s="11" t="s">
        <v>75</v>
      </c>
      <c r="L9" s="11" t="s">
        <v>162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23">
        <v>46239.0</v>
      </c>
      <c r="B10" s="11" t="s">
        <v>282</v>
      </c>
      <c r="C10" s="11" t="s">
        <v>302</v>
      </c>
      <c r="D10" s="11" t="s">
        <v>410</v>
      </c>
      <c r="E10" s="11" t="s">
        <v>619</v>
      </c>
      <c r="F10" s="11" t="s">
        <v>629</v>
      </c>
      <c r="G10" s="11" t="s">
        <v>630</v>
      </c>
      <c r="H10" s="11" t="s">
        <v>184</v>
      </c>
      <c r="I10" s="11" t="s">
        <v>224</v>
      </c>
      <c r="J10" s="11" t="s">
        <v>622</v>
      </c>
      <c r="K10" s="11" t="s">
        <v>75</v>
      </c>
      <c r="L10" s="11" t="s">
        <v>162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3">
        <v>46241.0</v>
      </c>
      <c r="B11" s="11" t="s">
        <v>282</v>
      </c>
      <c r="C11" s="11" t="s">
        <v>302</v>
      </c>
      <c r="D11" s="11" t="s">
        <v>410</v>
      </c>
      <c r="E11" s="11" t="s">
        <v>636</v>
      </c>
      <c r="F11" s="11" t="s">
        <v>637</v>
      </c>
      <c r="G11" s="11" t="s">
        <v>638</v>
      </c>
      <c r="H11" s="11" t="s">
        <v>271</v>
      </c>
      <c r="I11" s="11" t="s">
        <v>224</v>
      </c>
      <c r="J11" s="11" t="s">
        <v>622</v>
      </c>
      <c r="K11" s="11" t="s">
        <v>75</v>
      </c>
      <c r="L11" s="11" t="s">
        <v>162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23">
        <v>46242.0</v>
      </c>
      <c r="B12" s="11" t="s">
        <v>282</v>
      </c>
      <c r="C12" s="11" t="s">
        <v>302</v>
      </c>
      <c r="D12" s="11" t="s">
        <v>410</v>
      </c>
      <c r="E12" s="11" t="s">
        <v>641</v>
      </c>
      <c r="F12" s="11" t="s">
        <v>349</v>
      </c>
      <c r="G12" s="11" t="s">
        <v>642</v>
      </c>
      <c r="H12" s="11" t="s">
        <v>386</v>
      </c>
      <c r="I12" s="11" t="s">
        <v>224</v>
      </c>
      <c r="J12" s="11" t="s">
        <v>622</v>
      </c>
      <c r="K12" s="11" t="s">
        <v>75</v>
      </c>
      <c r="L12" s="11" t="s">
        <v>162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23">
        <v>46243.0</v>
      </c>
      <c r="B13" s="11" t="s">
        <v>214</v>
      </c>
      <c r="C13" s="11" t="s">
        <v>601</v>
      </c>
      <c r="D13" s="11" t="s">
        <v>601</v>
      </c>
      <c r="E13" s="11" t="s">
        <v>645</v>
      </c>
      <c r="F13" s="11" t="s">
        <v>262</v>
      </c>
      <c r="G13" s="11" t="s">
        <v>646</v>
      </c>
      <c r="H13" s="11" t="s">
        <v>223</v>
      </c>
      <c r="I13" s="11" t="s">
        <v>224</v>
      </c>
      <c r="J13" s="11" t="s">
        <v>648</v>
      </c>
      <c r="K13" s="11" t="s">
        <v>75</v>
      </c>
      <c r="L13" s="11" t="s">
        <v>162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3">
        <v>46243.0</v>
      </c>
      <c r="B14" s="11" t="s">
        <v>282</v>
      </c>
      <c r="C14" s="11" t="s">
        <v>302</v>
      </c>
      <c r="D14" s="11" t="s">
        <v>410</v>
      </c>
      <c r="E14" s="11" t="s">
        <v>645</v>
      </c>
      <c r="F14" s="11" t="s">
        <v>649</v>
      </c>
      <c r="G14" s="11" t="s">
        <v>525</v>
      </c>
      <c r="H14" s="11" t="s">
        <v>223</v>
      </c>
      <c r="I14" s="11" t="s">
        <v>224</v>
      </c>
      <c r="J14" s="11" t="s">
        <v>622</v>
      </c>
      <c r="K14" s="11" t="s">
        <v>75</v>
      </c>
      <c r="L14" s="11" t="s">
        <v>162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3">
        <v>46244.0</v>
      </c>
      <c r="B15" s="11" t="s">
        <v>214</v>
      </c>
      <c r="C15" s="11" t="s">
        <v>601</v>
      </c>
      <c r="D15" s="11" t="s">
        <v>601</v>
      </c>
      <c r="E15" s="11" t="s">
        <v>652</v>
      </c>
      <c r="F15" s="11" t="s">
        <v>653</v>
      </c>
      <c r="G15" s="11" t="s">
        <v>654</v>
      </c>
      <c r="H15" s="11" t="s">
        <v>386</v>
      </c>
      <c r="I15" s="11" t="s">
        <v>224</v>
      </c>
      <c r="J15" s="11" t="s">
        <v>618</v>
      </c>
      <c r="K15" s="11" t="s">
        <v>75</v>
      </c>
      <c r="L15" s="11" t="s">
        <v>162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3">
        <v>46244.0</v>
      </c>
      <c r="B16" s="11" t="s">
        <v>176</v>
      </c>
      <c r="C16" s="11" t="s">
        <v>596</v>
      </c>
      <c r="D16" s="11" t="s">
        <v>597</v>
      </c>
      <c r="E16" s="11" t="s">
        <v>656</v>
      </c>
      <c r="F16" s="11" t="s">
        <v>657</v>
      </c>
      <c r="G16" s="11" t="s">
        <v>658</v>
      </c>
      <c r="H16" s="11" t="s">
        <v>386</v>
      </c>
      <c r="I16" s="11" t="s">
        <v>186</v>
      </c>
      <c r="J16" s="11" t="s">
        <v>660</v>
      </c>
      <c r="K16" s="11" t="s">
        <v>75</v>
      </c>
      <c r="L16" s="11" t="s">
        <v>162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3">
        <v>46244.0</v>
      </c>
      <c r="B17" s="11" t="s">
        <v>607</v>
      </c>
      <c r="C17" s="11" t="s">
        <v>608</v>
      </c>
      <c r="D17" s="11" t="s">
        <v>609</v>
      </c>
      <c r="E17" s="11" t="s">
        <v>610</v>
      </c>
      <c r="F17" s="11" t="s">
        <v>662</v>
      </c>
      <c r="G17" s="11" t="s">
        <v>663</v>
      </c>
      <c r="H17" s="11" t="s">
        <v>386</v>
      </c>
      <c r="I17" s="11" t="s">
        <v>607</v>
      </c>
      <c r="J17" s="11" t="s">
        <v>664</v>
      </c>
      <c r="K17" s="11" t="s">
        <v>75</v>
      </c>
      <c r="L17" s="11" t="s">
        <v>162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3">
        <v>46249.0</v>
      </c>
      <c r="B18" s="11" t="s">
        <v>282</v>
      </c>
      <c r="C18" s="11" t="s">
        <v>302</v>
      </c>
      <c r="D18" s="11" t="s">
        <v>410</v>
      </c>
      <c r="E18" s="11" t="s">
        <v>670</v>
      </c>
      <c r="F18" s="11" t="s">
        <v>671</v>
      </c>
      <c r="G18" s="11" t="s">
        <v>673</v>
      </c>
      <c r="H18" s="11" t="s">
        <v>414</v>
      </c>
      <c r="I18" s="11" t="s">
        <v>224</v>
      </c>
      <c r="J18" s="11" t="s">
        <v>622</v>
      </c>
      <c r="K18" s="11" t="s">
        <v>75</v>
      </c>
      <c r="L18" s="11" t="s">
        <v>162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3">
        <v>46250.0</v>
      </c>
      <c r="B19" s="11" t="s">
        <v>214</v>
      </c>
      <c r="C19" s="11" t="s">
        <v>601</v>
      </c>
      <c r="D19" s="11" t="s">
        <v>601</v>
      </c>
      <c r="E19" s="11" t="s">
        <v>677</v>
      </c>
      <c r="F19" s="11" t="s">
        <v>117</v>
      </c>
      <c r="G19" s="11" t="s">
        <v>679</v>
      </c>
      <c r="H19" s="11" t="s">
        <v>420</v>
      </c>
      <c r="I19" s="11" t="s">
        <v>224</v>
      </c>
      <c r="J19" s="11" t="s">
        <v>618</v>
      </c>
      <c r="K19" s="11" t="s">
        <v>75</v>
      </c>
      <c r="L19" s="11" t="s">
        <v>162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3">
        <v>46254.0</v>
      </c>
      <c r="B20" s="11" t="s">
        <v>282</v>
      </c>
      <c r="C20" s="11" t="s">
        <v>302</v>
      </c>
      <c r="D20" s="11" t="s">
        <v>410</v>
      </c>
      <c r="E20" s="11" t="s">
        <v>683</v>
      </c>
      <c r="F20" s="11" t="s">
        <v>684</v>
      </c>
      <c r="G20" s="11" t="s">
        <v>426</v>
      </c>
      <c r="H20" s="11" t="s">
        <v>386</v>
      </c>
      <c r="I20" s="11" t="s">
        <v>224</v>
      </c>
      <c r="J20" s="11" t="s">
        <v>622</v>
      </c>
      <c r="K20" s="11" t="s">
        <v>75</v>
      </c>
      <c r="L20" s="11" t="s">
        <v>162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3">
        <v>46257.0</v>
      </c>
      <c r="B21" s="11" t="s">
        <v>214</v>
      </c>
      <c r="C21" s="11" t="s">
        <v>601</v>
      </c>
      <c r="D21" s="11" t="s">
        <v>601</v>
      </c>
      <c r="E21" s="11" t="s">
        <v>690</v>
      </c>
      <c r="F21" s="11" t="s">
        <v>691</v>
      </c>
      <c r="G21" s="11" t="s">
        <v>693</v>
      </c>
      <c r="H21" s="11" t="s">
        <v>396</v>
      </c>
      <c r="I21" s="11" t="s">
        <v>224</v>
      </c>
      <c r="J21" s="11" t="s">
        <v>618</v>
      </c>
      <c r="K21" s="11" t="s">
        <v>75</v>
      </c>
      <c r="L21" s="11" t="s">
        <v>162</v>
      </c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3">
        <v>46261.0</v>
      </c>
      <c r="B22" s="11" t="s">
        <v>282</v>
      </c>
      <c r="C22" s="11" t="s">
        <v>302</v>
      </c>
      <c r="D22" s="11" t="s">
        <v>410</v>
      </c>
      <c r="E22" s="11" t="s">
        <v>698</v>
      </c>
      <c r="F22" s="11" t="s">
        <v>445</v>
      </c>
      <c r="G22" s="11" t="s">
        <v>700</v>
      </c>
      <c r="H22" s="11" t="s">
        <v>386</v>
      </c>
      <c r="I22" s="11" t="s">
        <v>224</v>
      </c>
      <c r="J22" s="11" t="s">
        <v>622</v>
      </c>
      <c r="K22" s="11" t="s">
        <v>75</v>
      </c>
      <c r="L22" s="11" t="s">
        <v>162</v>
      </c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3">
        <v>46264.0</v>
      </c>
      <c r="B23" s="11" t="s">
        <v>214</v>
      </c>
      <c r="C23" s="11" t="s">
        <v>601</v>
      </c>
      <c r="D23" s="11" t="s">
        <v>601</v>
      </c>
      <c r="E23" s="11" t="s">
        <v>703</v>
      </c>
      <c r="F23" s="11" t="s">
        <v>704</v>
      </c>
      <c r="G23" s="11" t="s">
        <v>705</v>
      </c>
      <c r="H23" s="11" t="s">
        <v>460</v>
      </c>
      <c r="I23" s="11" t="s">
        <v>224</v>
      </c>
      <c r="J23" s="11" t="s">
        <v>618</v>
      </c>
      <c r="K23" s="11" t="s">
        <v>75</v>
      </c>
      <c r="L23" s="11" t="s">
        <v>162</v>
      </c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3">
        <v>46271.0</v>
      </c>
      <c r="B24" s="11" t="s">
        <v>214</v>
      </c>
      <c r="C24" s="11" t="s">
        <v>601</v>
      </c>
      <c r="D24" s="11" t="s">
        <v>601</v>
      </c>
      <c r="E24" s="11" t="s">
        <v>707</v>
      </c>
      <c r="F24" s="11" t="s">
        <v>708</v>
      </c>
      <c r="G24" s="11" t="s">
        <v>584</v>
      </c>
      <c r="H24" s="11" t="s">
        <v>490</v>
      </c>
      <c r="I24" s="11" t="s">
        <v>224</v>
      </c>
      <c r="J24" s="11" t="s">
        <v>618</v>
      </c>
      <c r="K24" s="11" t="s">
        <v>75</v>
      </c>
      <c r="L24" s="11" t="s">
        <v>162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dataValidations>
    <dataValidation type="list" allowBlank="1" sqref="L5:L24">
      <formula1>"Pendiente,En producción,Programado,Publicado,Completado,Bloqueado"</formula1>
    </dataValidation>
    <dataValidation type="list" allowBlank="1" sqref="D5:D24">
      <formula1>"Feed,Story,Banner,Perfil,Reel"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8.0"/>
    <col customWidth="1" min="3" max="3" width="22.0"/>
    <col customWidth="1" min="4" max="4" width="28.0"/>
    <col customWidth="1" min="5" max="5" width="40.0"/>
    <col customWidth="1" min="6" max="6" width="24.0"/>
    <col customWidth="1" min="7" max="7" width="22.0"/>
    <col customWidth="1" min="8" max="9" width="24.0"/>
    <col customWidth="1" min="10" max="10" width="18.0"/>
    <col customWidth="1" min="11" max="11" width="14.0"/>
    <col customWidth="1" min="12" max="12" width="27.0"/>
    <col customWidth="1" min="13" max="26" width="8.63"/>
  </cols>
  <sheetData>
    <row r="1" ht="30.0" customHeight="1">
      <c r="A1" s="1" t="s">
        <v>606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614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494</v>
      </c>
      <c r="B4" s="5" t="s">
        <v>47</v>
      </c>
      <c r="C4" s="5" t="s">
        <v>623</v>
      </c>
      <c r="D4" s="5" t="s">
        <v>624</v>
      </c>
      <c r="E4" s="5" t="s">
        <v>625</v>
      </c>
      <c r="F4" s="5" t="s">
        <v>626</v>
      </c>
      <c r="G4" s="5" t="s">
        <v>627</v>
      </c>
      <c r="H4" s="5" t="s">
        <v>51</v>
      </c>
      <c r="I4" s="5" t="s">
        <v>43</v>
      </c>
      <c r="J4" s="5" t="s">
        <v>45</v>
      </c>
      <c r="K4" s="5" t="s">
        <v>17</v>
      </c>
      <c r="L4" s="5" t="s">
        <v>628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1" t="s">
        <v>631</v>
      </c>
      <c r="B5" s="11" t="s">
        <v>632</v>
      </c>
      <c r="C5" s="11" t="s">
        <v>633</v>
      </c>
      <c r="D5" s="11" t="s">
        <v>634</v>
      </c>
      <c r="E5" s="11" t="s">
        <v>635</v>
      </c>
      <c r="F5" s="11" t="s">
        <v>271</v>
      </c>
      <c r="G5" s="11" t="s">
        <v>501</v>
      </c>
      <c r="H5" s="11" t="s">
        <v>244</v>
      </c>
      <c r="I5" s="11" t="s">
        <v>639</v>
      </c>
      <c r="J5" s="11" t="s">
        <v>94</v>
      </c>
      <c r="K5" s="11" t="s">
        <v>162</v>
      </c>
      <c r="L5" s="11" t="s">
        <v>640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1" t="s">
        <v>511</v>
      </c>
      <c r="B6" s="11" t="s">
        <v>195</v>
      </c>
      <c r="C6" s="11" t="s">
        <v>512</v>
      </c>
      <c r="D6" s="11" t="s">
        <v>510</v>
      </c>
      <c r="E6" s="11" t="s">
        <v>643</v>
      </c>
      <c r="F6" s="11" t="s">
        <v>386</v>
      </c>
      <c r="G6" s="11" t="s">
        <v>644</v>
      </c>
      <c r="H6" s="11" t="s">
        <v>345</v>
      </c>
      <c r="I6" s="11" t="s">
        <v>397</v>
      </c>
      <c r="J6" s="11" t="s">
        <v>94</v>
      </c>
      <c r="K6" s="11" t="s">
        <v>162</v>
      </c>
      <c r="L6" s="11" t="s">
        <v>647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1" t="s">
        <v>526</v>
      </c>
      <c r="B7" s="11" t="s">
        <v>398</v>
      </c>
      <c r="C7" s="11" t="s">
        <v>512</v>
      </c>
      <c r="D7" s="11" t="s">
        <v>525</v>
      </c>
      <c r="E7" s="11" t="s">
        <v>650</v>
      </c>
      <c r="F7" s="11" t="s">
        <v>372</v>
      </c>
      <c r="G7" s="11" t="s">
        <v>644</v>
      </c>
      <c r="H7" s="11" t="s">
        <v>345</v>
      </c>
      <c r="I7" s="11" t="s">
        <v>403</v>
      </c>
      <c r="J7" s="11" t="s">
        <v>75</v>
      </c>
      <c r="K7" s="11" t="s">
        <v>162</v>
      </c>
      <c r="L7" s="11" t="s">
        <v>651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1" t="s">
        <v>529</v>
      </c>
      <c r="B8" s="11" t="s">
        <v>632</v>
      </c>
      <c r="C8" s="11" t="s">
        <v>512</v>
      </c>
      <c r="D8" s="11" t="s">
        <v>246</v>
      </c>
      <c r="E8" s="11" t="s">
        <v>655</v>
      </c>
      <c r="F8" s="11" t="s">
        <v>382</v>
      </c>
      <c r="G8" s="11" t="s">
        <v>659</v>
      </c>
      <c r="H8" s="11" t="s">
        <v>201</v>
      </c>
      <c r="I8" s="11" t="s">
        <v>639</v>
      </c>
      <c r="J8" s="11" t="s">
        <v>94</v>
      </c>
      <c r="K8" s="11" t="s">
        <v>162</v>
      </c>
      <c r="L8" s="11" t="s">
        <v>661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1" t="s">
        <v>665</v>
      </c>
      <c r="B9" s="11" t="s">
        <v>195</v>
      </c>
      <c r="C9" s="11" t="s">
        <v>537</v>
      </c>
      <c r="D9" s="11" t="s">
        <v>666</v>
      </c>
      <c r="E9" s="11" t="s">
        <v>667</v>
      </c>
      <c r="F9" s="11" t="s">
        <v>668</v>
      </c>
      <c r="G9" s="11" t="s">
        <v>669</v>
      </c>
      <c r="H9" s="11" t="s">
        <v>392</v>
      </c>
      <c r="I9" s="11" t="s">
        <v>397</v>
      </c>
      <c r="J9" s="11" t="s">
        <v>94</v>
      </c>
      <c r="K9" s="11" t="s">
        <v>162</v>
      </c>
      <c r="L9" s="11" t="s">
        <v>672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1" t="s">
        <v>674</v>
      </c>
      <c r="B10" s="11" t="s">
        <v>195</v>
      </c>
      <c r="C10" s="11" t="s">
        <v>675</v>
      </c>
      <c r="D10" s="11" t="s">
        <v>676</v>
      </c>
      <c r="E10" s="11" t="s">
        <v>678</v>
      </c>
      <c r="F10" s="11" t="s">
        <v>668</v>
      </c>
      <c r="G10" s="11" t="s">
        <v>680</v>
      </c>
      <c r="H10" s="11" t="s">
        <v>681</v>
      </c>
      <c r="I10" s="11" t="s">
        <v>397</v>
      </c>
      <c r="J10" s="11" t="s">
        <v>94</v>
      </c>
      <c r="K10" s="11" t="s">
        <v>162</v>
      </c>
      <c r="L10" s="11" t="s">
        <v>682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1" t="s">
        <v>685</v>
      </c>
      <c r="B11" s="11" t="s">
        <v>398</v>
      </c>
      <c r="C11" s="11" t="s">
        <v>686</v>
      </c>
      <c r="D11" s="11" t="s">
        <v>687</v>
      </c>
      <c r="E11" s="11" t="s">
        <v>688</v>
      </c>
      <c r="F11" s="11" t="s">
        <v>287</v>
      </c>
      <c r="G11" s="11" t="s">
        <v>689</v>
      </c>
      <c r="H11" s="11" t="s">
        <v>398</v>
      </c>
      <c r="I11" s="11" t="s">
        <v>403</v>
      </c>
      <c r="J11" s="11" t="s">
        <v>75</v>
      </c>
      <c r="K11" s="11" t="s">
        <v>162</v>
      </c>
      <c r="L11" s="11" t="s">
        <v>692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1" t="s">
        <v>536</v>
      </c>
      <c r="B12" s="11" t="s">
        <v>195</v>
      </c>
      <c r="C12" s="11" t="s">
        <v>694</v>
      </c>
      <c r="D12" s="11" t="s">
        <v>695</v>
      </c>
      <c r="E12" s="11" t="s">
        <v>696</v>
      </c>
      <c r="F12" s="11" t="s">
        <v>396</v>
      </c>
      <c r="G12" s="11" t="s">
        <v>697</v>
      </c>
      <c r="H12" s="11" t="s">
        <v>699</v>
      </c>
      <c r="I12" s="11" t="s">
        <v>397</v>
      </c>
      <c r="J12" s="11" t="s">
        <v>94</v>
      </c>
      <c r="K12" s="11" t="s">
        <v>162</v>
      </c>
      <c r="L12" s="11" t="s">
        <v>701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1" t="s">
        <v>542</v>
      </c>
      <c r="B13" s="11" t="s">
        <v>632</v>
      </c>
      <c r="C13" s="11" t="s">
        <v>512</v>
      </c>
      <c r="D13" s="11" t="s">
        <v>114</v>
      </c>
      <c r="E13" s="11" t="s">
        <v>702</v>
      </c>
      <c r="F13" s="11" t="s">
        <v>414</v>
      </c>
      <c r="G13" s="11" t="s">
        <v>114</v>
      </c>
      <c r="H13" s="11" t="s">
        <v>313</v>
      </c>
      <c r="I13" s="11" t="s">
        <v>639</v>
      </c>
      <c r="J13" s="11" t="s">
        <v>157</v>
      </c>
      <c r="K13" s="11" t="s">
        <v>162</v>
      </c>
      <c r="L13" s="11" t="s">
        <v>14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11" t="s">
        <v>549</v>
      </c>
      <c r="B14" s="11" t="s">
        <v>632</v>
      </c>
      <c r="C14" s="11" t="s">
        <v>512</v>
      </c>
      <c r="D14" s="11" t="s">
        <v>141</v>
      </c>
      <c r="E14" s="11" t="s">
        <v>706</v>
      </c>
      <c r="F14" s="11" t="s">
        <v>396</v>
      </c>
      <c r="G14" s="11" t="s">
        <v>141</v>
      </c>
      <c r="H14" s="11" t="s">
        <v>552</v>
      </c>
      <c r="I14" s="11" t="s">
        <v>639</v>
      </c>
      <c r="J14" s="11" t="s">
        <v>157</v>
      </c>
      <c r="K14" s="11" t="s">
        <v>162</v>
      </c>
      <c r="L14" s="11" t="s">
        <v>14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11" t="s">
        <v>556</v>
      </c>
      <c r="B15" s="11" t="s">
        <v>195</v>
      </c>
      <c r="C15" s="11" t="s">
        <v>537</v>
      </c>
      <c r="D15" s="11" t="s">
        <v>452</v>
      </c>
      <c r="E15" s="11" t="s">
        <v>709</v>
      </c>
      <c r="F15" s="11" t="s">
        <v>710</v>
      </c>
      <c r="G15" s="11" t="s">
        <v>152</v>
      </c>
      <c r="H15" s="11" t="s">
        <v>558</v>
      </c>
      <c r="I15" s="11" t="s">
        <v>397</v>
      </c>
      <c r="J15" s="11" t="s">
        <v>94</v>
      </c>
      <c r="K15" s="11" t="s">
        <v>162</v>
      </c>
      <c r="L15" s="11" t="s">
        <v>14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1" t="s">
        <v>711</v>
      </c>
      <c r="B16" s="11" t="s">
        <v>712</v>
      </c>
      <c r="C16" s="11" t="s">
        <v>563</v>
      </c>
      <c r="D16" s="11" t="s">
        <v>561</v>
      </c>
      <c r="E16" s="11" t="s">
        <v>713</v>
      </c>
      <c r="F16" s="11" t="s">
        <v>460</v>
      </c>
      <c r="G16" s="11" t="s">
        <v>714</v>
      </c>
      <c r="H16" s="11" t="s">
        <v>462</v>
      </c>
      <c r="I16" s="11" t="s">
        <v>639</v>
      </c>
      <c r="J16" s="11" t="s">
        <v>94</v>
      </c>
      <c r="K16" s="11" t="s">
        <v>162</v>
      </c>
      <c r="L16" s="11" t="s">
        <v>715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dataValidations>
    <dataValidation type="list" allowBlank="1" sqref="K5:K16">
      <formula1>"Pendiente,Configurado,Enviado,Bloqueado"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3.0"/>
    <col customWidth="1" min="2" max="2" width="27.0"/>
    <col customWidth="1" min="3" max="3" width="16.0"/>
    <col customWidth="1" min="4" max="4" width="34.0"/>
    <col customWidth="1" min="5" max="5" width="33.0"/>
    <col customWidth="1" min="6" max="6" width="27.0"/>
    <col customWidth="1" min="7" max="7" width="31.0"/>
    <col customWidth="1" min="8" max="8" width="16.0"/>
    <col customWidth="1" min="9" max="9" width="52.0"/>
    <col customWidth="1" min="10" max="10" width="16.0"/>
    <col customWidth="1" min="11" max="11" width="30.0"/>
    <col customWidth="1" min="12" max="26" width="8.63"/>
  </cols>
  <sheetData>
    <row r="1" ht="30.0" customHeight="1">
      <c r="A1" s="1" t="s">
        <v>716</v>
      </c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717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718</v>
      </c>
      <c r="B4" s="5" t="s">
        <v>719</v>
      </c>
      <c r="C4" s="5" t="s">
        <v>720</v>
      </c>
      <c r="D4" s="5" t="s">
        <v>721</v>
      </c>
      <c r="E4" s="5" t="s">
        <v>722</v>
      </c>
      <c r="F4" s="5" t="s">
        <v>723</v>
      </c>
      <c r="G4" s="5" t="s">
        <v>724</v>
      </c>
      <c r="H4" s="5" t="s">
        <v>45</v>
      </c>
      <c r="I4" s="5" t="s">
        <v>725</v>
      </c>
      <c r="J4" s="5" t="s">
        <v>17</v>
      </c>
      <c r="K4" s="5" t="s">
        <v>628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1" t="s">
        <v>726</v>
      </c>
      <c r="B5" s="11" t="s">
        <v>224</v>
      </c>
      <c r="C5" s="11" t="s">
        <v>225</v>
      </c>
      <c r="D5" s="11" t="s">
        <v>727</v>
      </c>
      <c r="E5" s="11" t="s">
        <v>728</v>
      </c>
      <c r="F5" s="11" t="s">
        <v>729</v>
      </c>
      <c r="G5" s="11" t="s">
        <v>730</v>
      </c>
      <c r="H5" s="11" t="s">
        <v>75</v>
      </c>
      <c r="I5" s="11" t="s">
        <v>731</v>
      </c>
      <c r="J5" s="11" t="s">
        <v>732</v>
      </c>
      <c r="K5" s="11" t="s">
        <v>733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1" t="s">
        <v>436</v>
      </c>
      <c r="B6" s="11" t="s">
        <v>734</v>
      </c>
      <c r="C6" s="11" t="s">
        <v>735</v>
      </c>
      <c r="D6" s="11" t="s">
        <v>736</v>
      </c>
      <c r="E6" s="11" t="s">
        <v>737</v>
      </c>
      <c r="F6" s="11" t="s">
        <v>738</v>
      </c>
      <c r="G6" s="11" t="s">
        <v>739</v>
      </c>
      <c r="H6" s="11" t="s">
        <v>75</v>
      </c>
      <c r="I6" s="11" t="s">
        <v>740</v>
      </c>
      <c r="J6" s="11" t="s">
        <v>732</v>
      </c>
      <c r="K6" s="11" t="s">
        <v>741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1" t="s">
        <v>742</v>
      </c>
      <c r="B7" s="11" t="s">
        <v>367</v>
      </c>
      <c r="C7" s="11" t="s">
        <v>225</v>
      </c>
      <c r="D7" s="11" t="s">
        <v>743</v>
      </c>
      <c r="E7" s="11" t="s">
        <v>744</v>
      </c>
      <c r="F7" s="11" t="s">
        <v>745</v>
      </c>
      <c r="G7" s="11" t="s">
        <v>746</v>
      </c>
      <c r="H7" s="11" t="s">
        <v>75</v>
      </c>
      <c r="I7" s="11" t="s">
        <v>747</v>
      </c>
      <c r="J7" s="11" t="s">
        <v>748</v>
      </c>
      <c r="K7" s="11" t="s">
        <v>749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1" t="s">
        <v>750</v>
      </c>
      <c r="B8" s="11" t="s">
        <v>751</v>
      </c>
      <c r="C8" s="11" t="s">
        <v>225</v>
      </c>
      <c r="D8" s="11" t="s">
        <v>752</v>
      </c>
      <c r="E8" s="11" t="s">
        <v>753</v>
      </c>
      <c r="F8" s="11" t="s">
        <v>754</v>
      </c>
      <c r="G8" s="11" t="s">
        <v>755</v>
      </c>
      <c r="H8" s="11" t="s">
        <v>94</v>
      </c>
      <c r="I8" s="11" t="s">
        <v>756</v>
      </c>
      <c r="J8" s="11" t="s">
        <v>732</v>
      </c>
      <c r="K8" s="11" t="s">
        <v>757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1" t="s">
        <v>758</v>
      </c>
      <c r="B9" s="11" t="s">
        <v>123</v>
      </c>
      <c r="C9" s="11" t="s">
        <v>225</v>
      </c>
      <c r="D9" s="11" t="s">
        <v>759</v>
      </c>
      <c r="E9" s="11" t="s">
        <v>760</v>
      </c>
      <c r="F9" s="11" t="s">
        <v>761</v>
      </c>
      <c r="G9" s="11" t="s">
        <v>762</v>
      </c>
      <c r="H9" s="11" t="s">
        <v>75</v>
      </c>
      <c r="I9" s="11" t="s">
        <v>763</v>
      </c>
      <c r="J9" s="11" t="s">
        <v>732</v>
      </c>
      <c r="K9" s="11" t="s">
        <v>764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1" t="s">
        <v>765</v>
      </c>
      <c r="B10" s="11" t="s">
        <v>766</v>
      </c>
      <c r="C10" s="11" t="s">
        <v>225</v>
      </c>
      <c r="D10" s="11" t="s">
        <v>767</v>
      </c>
      <c r="E10" s="11" t="s">
        <v>768</v>
      </c>
      <c r="F10" s="11" t="s">
        <v>769</v>
      </c>
      <c r="G10" s="11" t="s">
        <v>770</v>
      </c>
      <c r="H10" s="11" t="s">
        <v>75</v>
      </c>
      <c r="I10" s="11" t="s">
        <v>771</v>
      </c>
      <c r="J10" s="11" t="s">
        <v>732</v>
      </c>
      <c r="K10" s="11" t="s">
        <v>772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1" t="s">
        <v>773</v>
      </c>
      <c r="B11" s="11" t="s">
        <v>774</v>
      </c>
      <c r="C11" s="11" t="s">
        <v>735</v>
      </c>
      <c r="D11" s="11" t="s">
        <v>775</v>
      </c>
      <c r="E11" s="11" t="s">
        <v>776</v>
      </c>
      <c r="F11" s="11" t="s">
        <v>777</v>
      </c>
      <c r="G11" s="11" t="s">
        <v>778</v>
      </c>
      <c r="H11" s="11" t="s">
        <v>94</v>
      </c>
      <c r="I11" s="11" t="s">
        <v>113</v>
      </c>
      <c r="J11" s="11" t="s">
        <v>732</v>
      </c>
      <c r="K11" s="11" t="s">
        <v>779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1" t="s">
        <v>780</v>
      </c>
      <c r="B12" s="11" t="s">
        <v>781</v>
      </c>
      <c r="C12" s="11" t="s">
        <v>225</v>
      </c>
      <c r="D12" s="11" t="s">
        <v>782</v>
      </c>
      <c r="E12" s="11" t="s">
        <v>783</v>
      </c>
      <c r="F12" s="11" t="s">
        <v>784</v>
      </c>
      <c r="G12" s="11" t="s">
        <v>785</v>
      </c>
      <c r="H12" s="11" t="s">
        <v>75</v>
      </c>
      <c r="I12" s="11" t="s">
        <v>113</v>
      </c>
      <c r="J12" s="11" t="s">
        <v>732</v>
      </c>
      <c r="K12" s="11" t="s">
        <v>786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5" t="s">
        <v>787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15:K17"/>
  </mergeCells>
  <dataValidations>
    <dataValidation type="list" allowBlank="1" sqref="J5:J12">
      <formula1>"Activo,Por configurar,Bloqueado,No aplica"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6.0"/>
    <col customWidth="1" min="3" max="3" width="26.0"/>
    <col customWidth="1" min="4" max="4" width="23.0"/>
    <col customWidth="1" min="5" max="5" width="4.0"/>
    <col customWidth="1" min="6" max="6" width="27.0"/>
    <col customWidth="1" min="7" max="8" width="16.0"/>
    <col customWidth="1" min="9" max="9" width="28.0"/>
    <col customWidth="1" min="10" max="10" width="4.0"/>
    <col customWidth="1" min="11" max="26" width="8.63"/>
  </cols>
  <sheetData>
    <row r="1" ht="30.0" customHeight="1">
      <c r="A1" s="1" t="s">
        <v>788</v>
      </c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789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4" t="s">
        <v>790</v>
      </c>
      <c r="E4" s="2"/>
      <c r="F4" s="4" t="s">
        <v>791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5" t="s">
        <v>792</v>
      </c>
      <c r="B5" s="5" t="s">
        <v>793</v>
      </c>
      <c r="C5" s="5" t="s">
        <v>794</v>
      </c>
      <c r="D5" s="5" t="s">
        <v>51</v>
      </c>
      <c r="E5" s="2"/>
      <c r="F5" s="5" t="s">
        <v>792</v>
      </c>
      <c r="G5" s="5" t="s">
        <v>793</v>
      </c>
      <c r="H5" s="5" t="s">
        <v>795</v>
      </c>
      <c r="I5" s="5" t="s">
        <v>796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1" t="s">
        <v>797</v>
      </c>
      <c r="B6" s="11">
        <v>0.0</v>
      </c>
      <c r="C6" s="11" t="s">
        <v>798</v>
      </c>
      <c r="D6" s="11" t="s">
        <v>799</v>
      </c>
      <c r="E6" s="2"/>
      <c r="F6" s="11" t="s">
        <v>800</v>
      </c>
      <c r="G6" s="11">
        <v>0.0</v>
      </c>
      <c r="H6" s="11" t="s">
        <v>113</v>
      </c>
      <c r="I6" s="11" t="s">
        <v>801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1" t="s">
        <v>802</v>
      </c>
      <c r="B7" s="11">
        <v>0.0</v>
      </c>
      <c r="C7" s="11" t="s">
        <v>798</v>
      </c>
      <c r="D7" s="11" t="s">
        <v>113</v>
      </c>
      <c r="E7" s="2"/>
      <c r="F7" s="11" t="s">
        <v>803</v>
      </c>
      <c r="G7" s="11">
        <v>0.0</v>
      </c>
      <c r="H7" s="27">
        <f>IFERROR(G7/G6,0)</f>
        <v>0</v>
      </c>
      <c r="I7" s="11" t="s">
        <v>201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1" t="s">
        <v>804</v>
      </c>
      <c r="B8" s="11">
        <v>0.0</v>
      </c>
      <c r="C8" s="11" t="s">
        <v>798</v>
      </c>
      <c r="D8" s="11" t="s">
        <v>113</v>
      </c>
      <c r="E8" s="2"/>
      <c r="F8" s="11" t="s">
        <v>805</v>
      </c>
      <c r="G8" s="11">
        <v>0.0</v>
      </c>
      <c r="H8" s="27">
        <f>IFERROR(G8/G6,0)</f>
        <v>0</v>
      </c>
      <c r="I8" s="11" t="s">
        <v>806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1" t="s">
        <v>807</v>
      </c>
      <c r="B9" s="11">
        <v>0.0</v>
      </c>
      <c r="C9" s="11" t="s">
        <v>808</v>
      </c>
      <c r="D9" s="11" t="s">
        <v>113</v>
      </c>
      <c r="E9" s="2"/>
      <c r="F9" s="11" t="s">
        <v>809</v>
      </c>
      <c r="G9" s="11">
        <v>0.0</v>
      </c>
      <c r="H9" s="27">
        <f>IFERROR(G9/G6,0)</f>
        <v>0</v>
      </c>
      <c r="I9" s="11" t="s">
        <v>810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1" t="s">
        <v>800</v>
      </c>
      <c r="B10" s="11">
        <v>0.0</v>
      </c>
      <c r="C10" s="11" t="s">
        <v>811</v>
      </c>
      <c r="D10" s="11" t="s">
        <v>812</v>
      </c>
      <c r="E10" s="2"/>
      <c r="F10" s="11" t="s">
        <v>813</v>
      </c>
      <c r="G10" s="11">
        <v>0.0</v>
      </c>
      <c r="H10" s="27">
        <f>IFERROR(G10/G6,0)</f>
        <v>0</v>
      </c>
      <c r="I10" s="11" t="s">
        <v>558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1" t="s">
        <v>814</v>
      </c>
      <c r="B11" s="27">
        <f t="shared" ref="B11:B13" si="1">IFERROR(B8/B7,0)</f>
        <v>0</v>
      </c>
      <c r="C11" s="11" t="s">
        <v>815</v>
      </c>
      <c r="D11" s="11" t="s">
        <v>816</v>
      </c>
      <c r="E11" s="2"/>
      <c r="F11" s="11" t="s">
        <v>817</v>
      </c>
      <c r="G11" s="11">
        <v>0.0</v>
      </c>
      <c r="H11" s="27">
        <f>IFERROR(G11/G10,0)</f>
        <v>0</v>
      </c>
      <c r="I11" s="11" t="s">
        <v>818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1" t="s">
        <v>819</v>
      </c>
      <c r="B12" s="27">
        <f t="shared" si="1"/>
        <v>0</v>
      </c>
      <c r="C12" s="11" t="s">
        <v>820</v>
      </c>
      <c r="D12" s="11" t="s">
        <v>821</v>
      </c>
      <c r="E12" s="2"/>
      <c r="F12" s="11" t="s">
        <v>822</v>
      </c>
      <c r="G12" s="11">
        <v>0.0</v>
      </c>
      <c r="H12" s="27">
        <f>IFERROR(G12/G10,0)</f>
        <v>0</v>
      </c>
      <c r="I12" s="11" t="s">
        <v>823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1" t="s">
        <v>824</v>
      </c>
      <c r="B13" s="27">
        <f t="shared" si="1"/>
        <v>0</v>
      </c>
      <c r="C13" s="11" t="s">
        <v>825</v>
      </c>
      <c r="D13" s="11" t="s">
        <v>821</v>
      </c>
      <c r="E13" s="2"/>
      <c r="F13" s="11" t="s">
        <v>826</v>
      </c>
      <c r="G13" s="11">
        <v>0.0</v>
      </c>
      <c r="H13" s="11"/>
      <c r="I13" s="11" t="s">
        <v>827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2"/>
      <c r="E14" s="2"/>
      <c r="F14" s="11"/>
      <c r="G14" s="11"/>
      <c r="H14" s="11"/>
      <c r="I14" s="11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4" t="s">
        <v>828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5" t="s">
        <v>19</v>
      </c>
      <c r="B16" s="5" t="s">
        <v>829</v>
      </c>
      <c r="C16" s="5" t="s">
        <v>830</v>
      </c>
      <c r="D16" s="5" t="s">
        <v>831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11" t="s">
        <v>832</v>
      </c>
      <c r="B17" s="28">
        <f>IFERROR(B6/B8,0)</f>
        <v>0</v>
      </c>
      <c r="C17" s="11" t="s">
        <v>833</v>
      </c>
      <c r="D17" s="11" t="s">
        <v>834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11" t="s">
        <v>835</v>
      </c>
      <c r="B18" s="28">
        <f>IFERROR(B6/B9,0)</f>
        <v>0</v>
      </c>
      <c r="C18" s="11" t="s">
        <v>836</v>
      </c>
      <c r="D18" s="11" t="s">
        <v>837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11" t="s">
        <v>838</v>
      </c>
      <c r="B19" s="28">
        <f>IFERROR(B6/B10,0)</f>
        <v>0</v>
      </c>
      <c r="C19" s="11" t="s">
        <v>839</v>
      </c>
      <c r="D19" s="11" t="s">
        <v>840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J1"/>
    <mergeCell ref="A2:J2"/>
    <mergeCell ref="A4:D4"/>
    <mergeCell ref="F4:I4"/>
    <mergeCell ref="A15:D15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9.0"/>
    <col customWidth="1" min="2" max="2" width="28.0"/>
    <col customWidth="1" min="3" max="3" width="24.0"/>
    <col customWidth="1" min="4" max="4" width="42.0"/>
    <col customWidth="1" min="5" max="5" width="22.0"/>
    <col customWidth="1" min="6" max="7" width="18.0"/>
    <col customWidth="1" min="8" max="8" width="24.0"/>
    <col customWidth="1" min="9" max="9" width="26.0"/>
    <col customWidth="1" min="10" max="10" width="25.0"/>
    <col customWidth="1" min="11" max="11" width="20.0"/>
    <col customWidth="1" min="12" max="12" width="14.0"/>
    <col customWidth="1" min="13" max="26" width="8.63"/>
  </cols>
  <sheetData>
    <row r="1" ht="30.0" customHeight="1">
      <c r="A1" s="1" t="s">
        <v>841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842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843</v>
      </c>
      <c r="B4" s="5" t="s">
        <v>844</v>
      </c>
      <c r="C4" s="5" t="s">
        <v>845</v>
      </c>
      <c r="D4" s="5" t="s">
        <v>846</v>
      </c>
      <c r="E4" s="5" t="s">
        <v>847</v>
      </c>
      <c r="F4" s="5" t="s">
        <v>848</v>
      </c>
      <c r="G4" s="5" t="s">
        <v>849</v>
      </c>
      <c r="H4" s="5" t="s">
        <v>850</v>
      </c>
      <c r="I4" s="5" t="s">
        <v>851</v>
      </c>
      <c r="J4" s="5" t="s">
        <v>852</v>
      </c>
      <c r="K4" s="5" t="s">
        <v>43</v>
      </c>
      <c r="L4" s="5" t="s">
        <v>17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1" t="s">
        <v>312</v>
      </c>
      <c r="B5" s="11" t="s">
        <v>853</v>
      </c>
      <c r="C5" s="11" t="s">
        <v>854</v>
      </c>
      <c r="D5" s="11" t="s">
        <v>855</v>
      </c>
      <c r="E5" s="11" t="s">
        <v>856</v>
      </c>
      <c r="F5" s="11" t="s">
        <v>857</v>
      </c>
      <c r="G5" s="11" t="s">
        <v>858</v>
      </c>
      <c r="H5" s="11" t="s">
        <v>859</v>
      </c>
      <c r="I5" s="11" t="s">
        <v>860</v>
      </c>
      <c r="J5" s="11" t="s">
        <v>861</v>
      </c>
      <c r="K5" s="11" t="s">
        <v>73</v>
      </c>
      <c r="L5" s="11" t="s">
        <v>162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1" t="s">
        <v>327</v>
      </c>
      <c r="B6" s="11" t="s">
        <v>862</v>
      </c>
      <c r="C6" s="11" t="s">
        <v>330</v>
      </c>
      <c r="D6" s="11" t="s">
        <v>334</v>
      </c>
      <c r="E6" s="11" t="s">
        <v>863</v>
      </c>
      <c r="F6" s="11" t="s">
        <v>864</v>
      </c>
      <c r="G6" s="11" t="s">
        <v>865</v>
      </c>
      <c r="H6" s="11" t="s">
        <v>866</v>
      </c>
      <c r="I6" s="11" t="s">
        <v>867</v>
      </c>
      <c r="J6" s="11" t="s">
        <v>868</v>
      </c>
      <c r="K6" s="11" t="s">
        <v>440</v>
      </c>
      <c r="L6" s="11" t="s">
        <v>162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1" t="s">
        <v>341</v>
      </c>
      <c r="B7" s="11" t="s">
        <v>869</v>
      </c>
      <c r="C7" s="11" t="s">
        <v>330</v>
      </c>
      <c r="D7" s="11" t="s">
        <v>344</v>
      </c>
      <c r="E7" s="11" t="s">
        <v>870</v>
      </c>
      <c r="F7" s="11" t="s">
        <v>864</v>
      </c>
      <c r="G7" s="11" t="s">
        <v>865</v>
      </c>
      <c r="H7" s="11" t="s">
        <v>866</v>
      </c>
      <c r="I7" s="11" t="s">
        <v>867</v>
      </c>
      <c r="J7" s="11" t="s">
        <v>868</v>
      </c>
      <c r="K7" s="11" t="s">
        <v>440</v>
      </c>
      <c r="L7" s="11" t="s">
        <v>162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4" t="s">
        <v>871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5" t="s">
        <v>872</v>
      </c>
      <c r="B11" s="5" t="s">
        <v>116</v>
      </c>
      <c r="C11" s="5" t="s">
        <v>45</v>
      </c>
      <c r="D11" s="5" t="s">
        <v>15</v>
      </c>
      <c r="E11" s="5" t="s">
        <v>829</v>
      </c>
      <c r="F11" s="5" t="s">
        <v>873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1">
        <v>1.0</v>
      </c>
      <c r="B12" s="11" t="s">
        <v>874</v>
      </c>
      <c r="C12" s="11" t="s">
        <v>75</v>
      </c>
      <c r="D12" s="11"/>
      <c r="E12" s="11"/>
      <c r="F12" s="1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1">
        <v>2.0</v>
      </c>
      <c r="B13" s="11" t="s">
        <v>876</v>
      </c>
      <c r="C13" s="11" t="s">
        <v>94</v>
      </c>
      <c r="D13" s="11"/>
      <c r="E13" s="11"/>
      <c r="F13" s="11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11">
        <v>3.0</v>
      </c>
      <c r="B14" s="11" t="s">
        <v>878</v>
      </c>
      <c r="C14" s="11" t="s">
        <v>75</v>
      </c>
      <c r="D14" s="11"/>
      <c r="E14" s="11"/>
      <c r="F14" s="11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11">
        <v>4.0</v>
      </c>
      <c r="B15" s="11" t="s">
        <v>879</v>
      </c>
      <c r="C15" s="11" t="s">
        <v>75</v>
      </c>
      <c r="D15" s="11"/>
      <c r="E15" s="11"/>
      <c r="F15" s="11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1">
        <v>5.0</v>
      </c>
      <c r="B16" s="11" t="s">
        <v>886</v>
      </c>
      <c r="C16" s="11" t="s">
        <v>254</v>
      </c>
      <c r="D16" s="11"/>
      <c r="E16" s="11"/>
      <c r="F16" s="11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11">
        <v>6.0</v>
      </c>
      <c r="B17" s="11" t="s">
        <v>892</v>
      </c>
      <c r="C17" s="11" t="s">
        <v>75</v>
      </c>
      <c r="D17" s="11"/>
      <c r="E17" s="11"/>
      <c r="F17" s="11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L1"/>
    <mergeCell ref="A2:L2"/>
    <mergeCell ref="A10:L10"/>
  </mergeCells>
  <dataValidations>
    <dataValidation type="list" allowBlank="1" sqref="L5:L7">
      <formula1>"Pendiente,En diseño,QA,Emitido,Entregado,Bloqueado"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0"/>
    <col customWidth="1" min="2" max="2" width="27.0"/>
    <col customWidth="1" min="3" max="3" width="60.0"/>
    <col customWidth="1" min="4" max="4" width="48.0"/>
    <col customWidth="1" min="5" max="5" width="18.0"/>
    <col customWidth="1" min="6" max="6" width="38.0"/>
    <col customWidth="1" min="7" max="26" width="8.63"/>
  </cols>
  <sheetData>
    <row r="1" ht="30.0" customHeight="1">
      <c r="A1" s="1" t="s">
        <v>875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5.5" customHeight="1">
      <c r="A2" s="3" t="s">
        <v>877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5" t="s">
        <v>880</v>
      </c>
      <c r="B4" s="5" t="s">
        <v>881</v>
      </c>
      <c r="C4" s="5" t="s">
        <v>882</v>
      </c>
      <c r="D4" s="5" t="s">
        <v>883</v>
      </c>
      <c r="E4" s="5" t="s">
        <v>884</v>
      </c>
      <c r="F4" s="5" t="s">
        <v>885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11" t="s">
        <v>887</v>
      </c>
      <c r="B5" s="11" t="s">
        <v>888</v>
      </c>
      <c r="C5" s="11" t="s">
        <v>731</v>
      </c>
      <c r="D5" s="11" t="s">
        <v>889</v>
      </c>
      <c r="E5" s="11" t="s">
        <v>890</v>
      </c>
      <c r="F5" s="11" t="s">
        <v>891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1" t="s">
        <v>367</v>
      </c>
      <c r="B6" s="11" t="s">
        <v>893</v>
      </c>
      <c r="C6" s="11" t="s">
        <v>747</v>
      </c>
      <c r="D6" s="11" t="s">
        <v>894</v>
      </c>
      <c r="E6" s="11" t="s">
        <v>890</v>
      </c>
      <c r="F6" s="11" t="s">
        <v>895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1" t="s">
        <v>751</v>
      </c>
      <c r="B7" s="11" t="s">
        <v>896</v>
      </c>
      <c r="C7" s="11" t="s">
        <v>756</v>
      </c>
      <c r="D7" s="11" t="s">
        <v>897</v>
      </c>
      <c r="E7" s="11" t="s">
        <v>890</v>
      </c>
      <c r="F7" s="11" t="s">
        <v>898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1" t="s">
        <v>123</v>
      </c>
      <c r="B8" s="11" t="s">
        <v>899</v>
      </c>
      <c r="C8" s="11" t="s">
        <v>763</v>
      </c>
      <c r="D8" s="11" t="s">
        <v>900</v>
      </c>
      <c r="E8" s="11" t="s">
        <v>890</v>
      </c>
      <c r="F8" s="11" t="s">
        <v>901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1" t="s">
        <v>902</v>
      </c>
      <c r="B9" s="11" t="s">
        <v>903</v>
      </c>
      <c r="C9" s="11" t="s">
        <v>771</v>
      </c>
      <c r="D9" s="11" t="s">
        <v>904</v>
      </c>
      <c r="E9" s="11" t="s">
        <v>890</v>
      </c>
      <c r="F9" s="11" t="s">
        <v>905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